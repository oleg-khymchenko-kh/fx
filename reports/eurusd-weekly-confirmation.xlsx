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eg\Documents\Oleg\fx\reports\"/>
    </mc:Choice>
  </mc:AlternateContent>
  <xr:revisionPtr revIDLastSave="0" documentId="13_ncr:1_{CA151C09-0F73-4785-9B7D-57490672A8D7}" xr6:coauthVersionLast="47" xr6:coauthVersionMax="47" xr10:uidLastSave="{00000000-0000-0000-0000-000000000000}"/>
  <bookViews>
    <workbookView xWindow="1116" yWindow="0" windowWidth="16704" windowHeight="13680" xr2:uid="{00000000-000D-0000-FFFF-FFFF00000000}"/>
  </bookViews>
  <sheets>
    <sheet name="Week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5" i="1" l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F691" i="1" s="1"/>
  <c r="D691" i="1"/>
  <c r="E690" i="1"/>
  <c r="D690" i="1"/>
  <c r="E689" i="1"/>
  <c r="F689" i="1" s="1"/>
  <c r="D689" i="1"/>
  <c r="E688" i="1"/>
  <c r="D688" i="1"/>
  <c r="E687" i="1"/>
  <c r="D687" i="1"/>
  <c r="E686" i="1"/>
  <c r="F686" i="1" s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F673" i="1" s="1"/>
  <c r="D673" i="1"/>
  <c r="E672" i="1"/>
  <c r="D672" i="1"/>
  <c r="E671" i="1"/>
  <c r="D671" i="1"/>
  <c r="E670" i="1"/>
  <c r="F670" i="1" s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F657" i="1" s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F642" i="1" s="1"/>
  <c r="D642" i="1"/>
  <c r="E641" i="1"/>
  <c r="D641" i="1"/>
  <c r="E640" i="1"/>
  <c r="F640" i="1" s="1"/>
  <c r="D640" i="1"/>
  <c r="E639" i="1"/>
  <c r="D639" i="1"/>
  <c r="E638" i="1"/>
  <c r="D638" i="1"/>
  <c r="E637" i="1"/>
  <c r="D637" i="1"/>
  <c r="E636" i="1"/>
  <c r="D636" i="1"/>
  <c r="E635" i="1"/>
  <c r="D635" i="1"/>
  <c r="E634" i="1"/>
  <c r="F634" i="1" s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F625" i="1" s="1"/>
  <c r="D625" i="1"/>
  <c r="E624" i="1"/>
  <c r="D624" i="1"/>
  <c r="E623" i="1"/>
  <c r="D623" i="1"/>
  <c r="E622" i="1"/>
  <c r="F622" i="1" s="1"/>
  <c r="D622" i="1"/>
  <c r="E621" i="1"/>
  <c r="D621" i="1"/>
  <c r="E620" i="1"/>
  <c r="D620" i="1"/>
  <c r="E619" i="1"/>
  <c r="F619" i="1" s="1"/>
  <c r="D619" i="1"/>
  <c r="E618" i="1"/>
  <c r="D618" i="1"/>
  <c r="E617" i="1"/>
  <c r="F617" i="1" s="1"/>
  <c r="D617" i="1"/>
  <c r="E616" i="1"/>
  <c r="D616" i="1"/>
  <c r="E615" i="1"/>
  <c r="D615" i="1"/>
  <c r="E614" i="1"/>
  <c r="F614" i="1" s="1"/>
  <c r="D614" i="1"/>
  <c r="E613" i="1"/>
  <c r="D613" i="1"/>
  <c r="E612" i="1"/>
  <c r="D612" i="1"/>
  <c r="E611" i="1"/>
  <c r="D611" i="1"/>
  <c r="E610" i="1"/>
  <c r="D610" i="1"/>
  <c r="E609" i="1"/>
  <c r="D609" i="1"/>
  <c r="E608" i="1"/>
  <c r="F608" i="1" s="1"/>
  <c r="D608" i="1"/>
  <c r="E607" i="1"/>
  <c r="D607" i="1"/>
  <c r="E606" i="1"/>
  <c r="D606" i="1"/>
  <c r="E605" i="1"/>
  <c r="D605" i="1"/>
  <c r="E604" i="1"/>
  <c r="F604" i="1" s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F597" i="1" s="1"/>
  <c r="D597" i="1"/>
  <c r="E596" i="1"/>
  <c r="D596" i="1"/>
  <c r="E595" i="1"/>
  <c r="F595" i="1" s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B6" i="1"/>
  <c r="B4" i="1"/>
  <c r="B3" i="1"/>
  <c r="F815" i="1" l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683" i="1"/>
  <c r="F680" i="1"/>
  <c r="F679" i="1"/>
  <c r="F677" i="1"/>
  <c r="F672" i="1"/>
  <c r="F671" i="1"/>
  <c r="F666" i="1"/>
  <c r="F665" i="1"/>
  <c r="F663" i="1"/>
  <c r="F660" i="1"/>
  <c r="F654" i="1"/>
  <c r="F653" i="1"/>
  <c r="F651" i="1"/>
  <c r="F645" i="1"/>
  <c r="F638" i="1"/>
  <c r="F637" i="1"/>
  <c r="F635" i="1"/>
  <c r="F631" i="1"/>
  <c r="F621" i="1"/>
  <c r="F616" i="1"/>
  <c r="F611" i="1"/>
  <c r="F601" i="1"/>
  <c r="F598" i="1"/>
  <c r="F594" i="1"/>
  <c r="F591" i="1"/>
  <c r="F588" i="1"/>
  <c r="F587" i="1"/>
  <c r="F585" i="1"/>
  <c r="F582" i="1"/>
  <c r="F581" i="1"/>
  <c r="F580" i="1"/>
  <c r="F578" i="1"/>
  <c r="F575" i="1"/>
  <c r="F574" i="1"/>
  <c r="F572" i="1"/>
  <c r="F570" i="1"/>
  <c r="F566" i="1"/>
  <c r="F560" i="1"/>
  <c r="F125" i="1"/>
  <c r="F117" i="1"/>
  <c r="F102" i="1"/>
  <c r="F97" i="1"/>
  <c r="F95" i="1"/>
  <c r="F78" i="1"/>
  <c r="F75" i="1"/>
  <c r="F68" i="1"/>
  <c r="F63" i="1"/>
  <c r="F54" i="1"/>
  <c r="F49" i="1"/>
  <c r="F45" i="1"/>
  <c r="F41" i="1"/>
  <c r="F39" i="1"/>
  <c r="F36" i="1"/>
  <c r="F34" i="1"/>
  <c r="F27" i="1"/>
  <c r="F25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0" i="1"/>
  <c r="F688" i="1"/>
  <c r="F687" i="1"/>
  <c r="F685" i="1"/>
  <c r="F684" i="1"/>
  <c r="F682" i="1"/>
  <c r="F681" i="1"/>
  <c r="F678" i="1"/>
  <c r="F676" i="1"/>
  <c r="F675" i="1"/>
  <c r="F674" i="1"/>
  <c r="F669" i="1"/>
  <c r="F668" i="1"/>
  <c r="F667" i="1"/>
  <c r="F664" i="1"/>
  <c r="F662" i="1"/>
  <c r="F661" i="1"/>
  <c r="F659" i="1"/>
  <c r="F658" i="1"/>
  <c r="F656" i="1"/>
  <c r="F655" i="1"/>
  <c r="F652" i="1"/>
  <c r="F650" i="1"/>
  <c r="F649" i="1"/>
  <c r="F648" i="1"/>
  <c r="F647" i="1"/>
  <c r="F646" i="1"/>
  <c r="F644" i="1"/>
  <c r="F643" i="1"/>
  <c r="F641" i="1"/>
  <c r="F639" i="1"/>
  <c r="F636" i="1"/>
  <c r="F633" i="1"/>
  <c r="F632" i="1"/>
  <c r="F630" i="1"/>
  <c r="F629" i="1"/>
  <c r="F628" i="1"/>
  <c r="F627" i="1"/>
  <c r="F626" i="1"/>
  <c r="F624" i="1"/>
  <c r="F623" i="1"/>
  <c r="F620" i="1"/>
  <c r="F618" i="1"/>
  <c r="F615" i="1"/>
  <c r="F613" i="1"/>
  <c r="F612" i="1"/>
  <c r="F610" i="1"/>
  <c r="F609" i="1"/>
  <c r="F607" i="1"/>
  <c r="F606" i="1"/>
  <c r="F605" i="1"/>
  <c r="F603" i="1"/>
  <c r="F602" i="1"/>
  <c r="F600" i="1"/>
  <c r="F599" i="1"/>
  <c r="F596" i="1"/>
  <c r="F593" i="1"/>
  <c r="F592" i="1"/>
  <c r="F590" i="1"/>
  <c r="F589" i="1"/>
  <c r="F586" i="1"/>
  <c r="F584" i="1"/>
  <c r="F583" i="1"/>
  <c r="F579" i="1"/>
  <c r="F577" i="1"/>
  <c r="F576" i="1"/>
  <c r="F573" i="1"/>
  <c r="F571" i="1"/>
  <c r="F569" i="1"/>
  <c r="F568" i="1"/>
  <c r="F567" i="1"/>
  <c r="F565" i="1"/>
  <c r="F564" i="1"/>
  <c r="F563" i="1"/>
  <c r="F562" i="1"/>
  <c r="F561" i="1"/>
  <c r="F141" i="1"/>
  <c r="F135" i="1"/>
  <c r="F133" i="1"/>
  <c r="F131" i="1"/>
  <c r="F130" i="1"/>
  <c r="F126" i="1"/>
  <c r="F121" i="1"/>
  <c r="F119" i="1"/>
  <c r="F116" i="1"/>
  <c r="F115" i="1"/>
  <c r="F112" i="1"/>
  <c r="F110" i="1"/>
  <c r="F106" i="1"/>
  <c r="F96" i="1"/>
  <c r="F91" i="1"/>
  <c r="F89" i="1"/>
  <c r="F87" i="1"/>
  <c r="F84" i="1"/>
  <c r="F71" i="1"/>
  <c r="F69" i="1"/>
  <c r="F67" i="1"/>
  <c r="F62" i="1"/>
  <c r="F60" i="1"/>
  <c r="F59" i="1"/>
  <c r="F58" i="1"/>
  <c r="F55" i="1"/>
  <c r="F53" i="1"/>
  <c r="F52" i="1"/>
  <c r="F50" i="1"/>
  <c r="F48" i="1"/>
  <c r="F47" i="1"/>
  <c r="F44" i="1"/>
  <c r="F42" i="1"/>
  <c r="F38" i="1"/>
  <c r="F35" i="1"/>
  <c r="F28" i="1"/>
  <c r="F23" i="1"/>
  <c r="F17" i="1"/>
  <c r="F14" i="1"/>
  <c r="F1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16" i="1"/>
  <c r="F515" i="1"/>
  <c r="F514" i="1"/>
  <c r="F513" i="1"/>
  <c r="F512" i="1"/>
  <c r="F511" i="1"/>
  <c r="F508" i="1"/>
  <c r="F507" i="1"/>
  <c r="F506" i="1"/>
  <c r="F504" i="1"/>
  <c r="F503" i="1"/>
  <c r="F502" i="1"/>
  <c r="F500" i="1"/>
  <c r="F499" i="1"/>
  <c r="F496" i="1"/>
  <c r="F495" i="1"/>
  <c r="F493" i="1"/>
  <c r="F492" i="1"/>
  <c r="F491" i="1"/>
  <c r="F490" i="1"/>
  <c r="F487" i="1"/>
  <c r="F486" i="1"/>
  <c r="F485" i="1"/>
  <c r="F483" i="1"/>
  <c r="F482" i="1"/>
  <c r="F479" i="1"/>
  <c r="F478" i="1"/>
  <c r="F477" i="1"/>
  <c r="F476" i="1"/>
  <c r="F474" i="1"/>
  <c r="F473" i="1"/>
  <c r="F471" i="1"/>
  <c r="F468" i="1"/>
  <c r="F466" i="1"/>
  <c r="F465" i="1"/>
  <c r="F464" i="1"/>
  <c r="F462" i="1"/>
  <c r="F459" i="1"/>
  <c r="F452" i="1"/>
  <c r="F451" i="1"/>
  <c r="F450" i="1"/>
  <c r="F446" i="1"/>
  <c r="F444" i="1"/>
  <c r="F443" i="1"/>
  <c r="F442" i="1"/>
  <c r="F438" i="1"/>
  <c r="F437" i="1"/>
  <c r="F436" i="1"/>
  <c r="F435" i="1"/>
  <c r="F417" i="1"/>
  <c r="F416" i="1"/>
  <c r="F415" i="1"/>
  <c r="F412" i="1"/>
  <c r="F410" i="1"/>
  <c r="F409" i="1"/>
  <c r="F407" i="1"/>
  <c r="F406" i="1"/>
  <c r="F403" i="1"/>
  <c r="F402" i="1"/>
  <c r="F400" i="1"/>
  <c r="F399" i="1"/>
  <c r="F398" i="1"/>
  <c r="F397" i="1"/>
  <c r="F394" i="1"/>
  <c r="F392" i="1"/>
  <c r="F389" i="1"/>
  <c r="F387" i="1"/>
  <c r="F386" i="1"/>
  <c r="F381" i="1"/>
  <c r="F376" i="1"/>
  <c r="F375" i="1"/>
  <c r="F374" i="1"/>
  <c r="F373" i="1"/>
  <c r="F372" i="1"/>
  <c r="F371" i="1"/>
  <c r="F369" i="1"/>
  <c r="F368" i="1"/>
  <c r="F367" i="1"/>
  <c r="F366" i="1"/>
  <c r="F362" i="1"/>
  <c r="F361" i="1"/>
  <c r="F360" i="1"/>
  <c r="F359" i="1"/>
  <c r="F358" i="1"/>
  <c r="F357" i="1"/>
  <c r="F356" i="1"/>
  <c r="F353" i="1"/>
  <c r="F351" i="1"/>
  <c r="F349" i="1"/>
  <c r="F348" i="1"/>
  <c r="F347" i="1"/>
  <c r="F345" i="1"/>
  <c r="F343" i="1"/>
  <c r="F342" i="1"/>
  <c r="F341" i="1"/>
  <c r="F340" i="1"/>
  <c r="F339" i="1"/>
  <c r="F337" i="1"/>
  <c r="F336" i="1"/>
  <c r="F334" i="1"/>
  <c r="F332" i="1"/>
  <c r="F331" i="1"/>
  <c r="F330" i="1"/>
  <c r="F324" i="1"/>
  <c r="F323" i="1"/>
  <c r="F322" i="1"/>
  <c r="F319" i="1"/>
  <c r="F315" i="1"/>
  <c r="F313" i="1"/>
  <c r="F311" i="1"/>
  <c r="F310" i="1"/>
  <c r="F308" i="1"/>
  <c r="F307" i="1"/>
  <c r="F306" i="1"/>
  <c r="F305" i="1"/>
  <c r="F303" i="1"/>
  <c r="F302" i="1"/>
  <c r="F301" i="1"/>
  <c r="F299" i="1"/>
  <c r="F298" i="1"/>
  <c r="F297" i="1"/>
  <c r="F295" i="1"/>
  <c r="F293" i="1"/>
  <c r="F292" i="1"/>
  <c r="F291" i="1"/>
  <c r="F289" i="1"/>
  <c r="F288" i="1"/>
  <c r="F286" i="1"/>
  <c r="F284" i="1"/>
  <c r="F281" i="1"/>
  <c r="F277" i="1"/>
  <c r="F275" i="1"/>
  <c r="F274" i="1"/>
  <c r="F266" i="1"/>
  <c r="F265" i="1"/>
  <c r="F264" i="1"/>
  <c r="F263" i="1"/>
  <c r="F262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2" i="1"/>
  <c r="F241" i="1"/>
  <c r="F238" i="1"/>
  <c r="F237" i="1"/>
  <c r="F236" i="1"/>
  <c r="F235" i="1"/>
  <c r="F234" i="1"/>
  <c r="F231" i="1"/>
  <c r="F230" i="1"/>
  <c r="F229" i="1"/>
  <c r="F228" i="1"/>
  <c r="F225" i="1"/>
  <c r="F221" i="1"/>
  <c r="F220" i="1"/>
  <c r="F218" i="1"/>
  <c r="F217" i="1"/>
  <c r="F216" i="1"/>
  <c r="F215" i="1"/>
  <c r="F214" i="1"/>
  <c r="F213" i="1"/>
  <c r="F212" i="1"/>
  <c r="F210" i="1"/>
  <c r="F206" i="1"/>
  <c r="F202" i="1"/>
  <c r="F201" i="1"/>
  <c r="F200" i="1"/>
  <c r="F198" i="1"/>
  <c r="F196" i="1"/>
  <c r="F195" i="1"/>
  <c r="F194" i="1"/>
  <c r="F189" i="1"/>
  <c r="F188" i="1"/>
  <c r="F187" i="1"/>
  <c r="F186" i="1"/>
  <c r="F185" i="1"/>
  <c r="F184" i="1"/>
  <c r="F183" i="1"/>
  <c r="F182" i="1"/>
  <c r="F179" i="1"/>
  <c r="F178" i="1"/>
  <c r="F175" i="1"/>
  <c r="F168" i="1"/>
  <c r="F166" i="1"/>
  <c r="F165" i="1"/>
  <c r="F162" i="1"/>
  <c r="F161" i="1"/>
  <c r="F159" i="1"/>
  <c r="F158" i="1"/>
  <c r="F157" i="1"/>
  <c r="F155" i="1"/>
  <c r="F153" i="1"/>
  <c r="F152" i="1"/>
  <c r="F151" i="1"/>
  <c r="F149" i="1"/>
  <c r="F148" i="1"/>
  <c r="F146" i="1"/>
  <c r="F144" i="1"/>
  <c r="F143" i="1"/>
  <c r="F142" i="1"/>
  <c r="F139" i="1"/>
  <c r="F137" i="1"/>
  <c r="F129" i="1"/>
  <c r="F124" i="1"/>
  <c r="F123" i="1"/>
  <c r="F122" i="1"/>
  <c r="F118" i="1"/>
  <c r="F108" i="1"/>
  <c r="F104" i="1"/>
  <c r="F103" i="1"/>
  <c r="F100" i="1"/>
  <c r="F98" i="1"/>
  <c r="F93" i="1"/>
  <c r="F92" i="1"/>
  <c r="F90" i="1"/>
  <c r="F88" i="1"/>
  <c r="F86" i="1"/>
  <c r="F82" i="1"/>
  <c r="F80" i="1"/>
  <c r="F77" i="1"/>
  <c r="F76" i="1"/>
  <c r="F72" i="1"/>
  <c r="F70" i="1"/>
  <c r="F65" i="1"/>
  <c r="F64" i="1"/>
  <c r="F61" i="1"/>
  <c r="F57" i="1"/>
  <c r="F56" i="1"/>
  <c r="F51" i="1"/>
  <c r="F46" i="1"/>
  <c r="F43" i="1"/>
  <c r="F40" i="1"/>
  <c r="F33" i="1"/>
  <c r="F30" i="1"/>
  <c r="F26" i="1"/>
  <c r="F21" i="1"/>
  <c r="F20" i="1"/>
  <c r="F19" i="1"/>
  <c r="F16" i="1"/>
  <c r="F13" i="1"/>
  <c r="F11" i="1"/>
  <c r="F522" i="1"/>
  <c r="F521" i="1"/>
  <c r="F520" i="1"/>
  <c r="F519" i="1"/>
  <c r="F518" i="1"/>
  <c r="F517" i="1"/>
  <c r="F510" i="1"/>
  <c r="F509" i="1"/>
  <c r="F505" i="1"/>
  <c r="F501" i="1"/>
  <c r="F498" i="1"/>
  <c r="F497" i="1"/>
  <c r="F494" i="1"/>
  <c r="F489" i="1"/>
  <c r="F488" i="1"/>
  <c r="F484" i="1"/>
  <c r="F481" i="1"/>
  <c r="F480" i="1"/>
  <c r="F475" i="1"/>
  <c r="F472" i="1"/>
  <c r="F470" i="1"/>
  <c r="F469" i="1"/>
  <c r="F467" i="1"/>
  <c r="F463" i="1"/>
  <c r="F461" i="1"/>
  <c r="F460" i="1"/>
  <c r="F458" i="1"/>
  <c r="F457" i="1"/>
  <c r="F456" i="1"/>
  <c r="F455" i="1"/>
  <c r="F454" i="1"/>
  <c r="F453" i="1"/>
  <c r="F449" i="1"/>
  <c r="F447" i="1"/>
  <c r="F445" i="1"/>
  <c r="F441" i="1"/>
  <c r="F440" i="1"/>
  <c r="F439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4" i="1"/>
  <c r="F413" i="1"/>
  <c r="F411" i="1"/>
  <c r="F408" i="1"/>
  <c r="F405" i="1"/>
  <c r="F404" i="1"/>
  <c r="F401" i="1"/>
  <c r="F396" i="1"/>
  <c r="F395" i="1"/>
  <c r="F393" i="1"/>
  <c r="F391" i="1"/>
  <c r="F390" i="1"/>
  <c r="F388" i="1"/>
  <c r="F385" i="1"/>
  <c r="F384" i="1"/>
  <c r="F383" i="1"/>
  <c r="F382" i="1"/>
  <c r="F380" i="1"/>
  <c r="F379" i="1"/>
  <c r="F378" i="1"/>
  <c r="F377" i="1"/>
  <c r="F370" i="1"/>
  <c r="F365" i="1"/>
  <c r="F364" i="1"/>
  <c r="F363" i="1"/>
  <c r="F355" i="1"/>
  <c r="F354" i="1"/>
  <c r="F352" i="1"/>
  <c r="F350" i="1"/>
  <c r="F346" i="1"/>
  <c r="F344" i="1"/>
  <c r="F335" i="1"/>
  <c r="F333" i="1"/>
  <c r="F329" i="1"/>
  <c r="F328" i="1"/>
  <c r="F327" i="1"/>
  <c r="F326" i="1"/>
  <c r="F325" i="1"/>
  <c r="F320" i="1"/>
  <c r="F318" i="1"/>
  <c r="F317" i="1"/>
  <c r="F316" i="1"/>
  <c r="F312" i="1"/>
  <c r="F309" i="1"/>
  <c r="F304" i="1"/>
  <c r="F300" i="1"/>
  <c r="F294" i="1"/>
  <c r="F285" i="1"/>
  <c r="F283" i="1"/>
  <c r="F282" i="1"/>
  <c r="F280" i="1"/>
  <c r="F279" i="1"/>
  <c r="F278" i="1"/>
  <c r="F276" i="1"/>
  <c r="F273" i="1"/>
  <c r="F272" i="1"/>
  <c r="F271" i="1"/>
  <c r="F270" i="1"/>
  <c r="F269" i="1"/>
  <c r="F268" i="1"/>
  <c r="F267" i="1"/>
  <c r="F261" i="1"/>
  <c r="F260" i="1"/>
  <c r="F259" i="1"/>
  <c r="F246" i="1"/>
  <c r="F245" i="1"/>
  <c r="F244" i="1"/>
  <c r="F243" i="1"/>
  <c r="F240" i="1"/>
  <c r="F239" i="1"/>
  <c r="F233" i="1"/>
  <c r="F232" i="1"/>
  <c r="F227" i="1"/>
  <c r="F226" i="1"/>
  <c r="F224" i="1"/>
  <c r="F223" i="1"/>
  <c r="F222" i="1"/>
  <c r="F219" i="1"/>
  <c r="F211" i="1"/>
  <c r="F209" i="1"/>
  <c r="F208" i="1"/>
  <c r="F207" i="1"/>
  <c r="F205" i="1"/>
  <c r="F204" i="1"/>
  <c r="F203" i="1"/>
  <c r="F199" i="1"/>
  <c r="F197" i="1"/>
  <c r="F193" i="1"/>
  <c r="F192" i="1"/>
  <c r="F190" i="1"/>
  <c r="F181" i="1"/>
  <c r="F180" i="1"/>
  <c r="F177" i="1"/>
  <c r="F176" i="1"/>
  <c r="F174" i="1"/>
  <c r="F173" i="1"/>
  <c r="F172" i="1"/>
  <c r="F171" i="1"/>
  <c r="F170" i="1"/>
  <c r="F169" i="1"/>
  <c r="F167" i="1"/>
  <c r="F164" i="1"/>
  <c r="F163" i="1"/>
  <c r="F160" i="1"/>
  <c r="F150" i="1"/>
  <c r="F147" i="1"/>
  <c r="F145" i="1"/>
  <c r="F140" i="1"/>
  <c r="F138" i="1"/>
  <c r="F136" i="1"/>
  <c r="F134" i="1"/>
  <c r="F132" i="1"/>
  <c r="F128" i="1"/>
  <c r="F127" i="1"/>
  <c r="F120" i="1"/>
  <c r="F114" i="1"/>
  <c r="F113" i="1"/>
  <c r="F111" i="1"/>
  <c r="F109" i="1"/>
  <c r="F107" i="1"/>
  <c r="F105" i="1"/>
  <c r="F101" i="1"/>
  <c r="F99" i="1"/>
  <c r="F94" i="1"/>
  <c r="F85" i="1"/>
  <c r="F83" i="1"/>
  <c r="F81" i="1"/>
  <c r="F79" i="1"/>
  <c r="F74" i="1"/>
  <c r="F73" i="1"/>
  <c r="F66" i="1"/>
  <c r="F37" i="1"/>
  <c r="F32" i="1"/>
  <c r="F24" i="1"/>
  <c r="F22" i="1"/>
  <c r="F18" i="1"/>
  <c r="F15" i="1"/>
  <c r="F12" i="1"/>
  <c r="B5" i="1"/>
  <c r="F29" i="1"/>
  <c r="F9" i="1"/>
  <c r="F31" i="1"/>
  <c r="F154" i="1"/>
  <c r="F191" i="1"/>
  <c r="F290" i="1"/>
  <c r="F296" i="1"/>
  <c r="F314" i="1"/>
  <c r="F338" i="1"/>
  <c r="F711" i="1"/>
  <c r="F448" i="1"/>
  <c r="F156" i="1"/>
  <c r="F321" i="1"/>
  <c r="F287" i="1"/>
</calcChain>
</file>

<file path=xl/sharedStrings.xml><?xml version="1.0" encoding="utf-8"?>
<sst xmlns="http://schemas.openxmlformats.org/spreadsheetml/2006/main" count="16" uniqueCount="16">
  <si>
    <t>EURUSD - weekly entry confirmation (SL 20 pips / TP 50 pips, entry = minute Avg)</t>
  </si>
  <si>
    <t>Total minutes</t>
  </si>
  <si>
    <t>Entry = candle Avg price; search starts from the next filled minute.</t>
  </si>
  <si>
    <t>Confirmed entries</t>
  </si>
  <si>
    <t>1 pip = 0.0001 (stored price scale 100000, 5 digits). SL = 200 units, TP = 500 units.</t>
  </si>
  <si>
    <t>Confirmed share</t>
  </si>
  <si>
    <t>A candle hitting both SL and TP in one minute counts as SL (entry not confirmed).</t>
  </si>
  <si>
    <t>Random-walk benchmark (4/7)</t>
  </si>
  <si>
    <t>Week = trading week labeled by its Monday; Sunday-evening minutes belong to the following week.</t>
  </si>
  <si>
    <t>Source: FxPro M1 history, data folder of FXViewer. Computed by src/Fx.Backtest.</t>
  </si>
  <si>
    <t>Week (Monday)</t>
  </si>
  <si>
    <t>Minutes</t>
  </si>
  <si>
    <t>Confirmed</t>
  </si>
  <si>
    <t>Not confirmed</t>
  </si>
  <si>
    <t>Share</t>
  </si>
  <si>
    <t>Delta vs 4/7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</si>
</sst>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4" fillId="0" borderId="0" xfId="0" applyFont="1"/>
    <xf numFmtId="10" fontId="3" fillId="0" borderId="0" xfId="0" applyNumberFormat="1" applyFont="1"/>
    <xf numFmtId="0" fontId="2" fillId="2" borderId="0" xfId="0" applyFont="1" applyFill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5"/>
  <sheetViews>
    <sheetView tabSelected="1" workbookViewId="0">
      <pane ySplit="8" topLeftCell="A9" activePane="bottomLeft" state="frozen"/>
      <selection pane="bottomLeft"/>
    </sheetView>
  </sheetViews>
  <sheetFormatPr defaultRowHeight="14.4" x14ac:dyDescent="0.3"/>
  <cols>
    <col min="1" max="1" width="14" customWidth="1"/>
    <col min="2" max="3" width="11" customWidth="1"/>
    <col min="4" max="4" width="13" customWidth="1"/>
    <col min="5" max="5" width="10" customWidth="1"/>
    <col min="6" max="6" width="12" customWidth="1"/>
  </cols>
  <sheetData>
    <row r="1" spans="1:6" ht="15.6" x14ac:dyDescent="0.3">
      <c r="A1" s="1" t="s">
        <v>0</v>
      </c>
    </row>
    <row r="3" spans="1:6" x14ac:dyDescent="0.3">
      <c r="A3" s="2" t="s">
        <v>1</v>
      </c>
      <c r="B3" s="3">
        <f>SUM(B9:B815)</f>
        <v>5703636</v>
      </c>
      <c r="D3" s="4" t="s">
        <v>2</v>
      </c>
    </row>
    <row r="4" spans="1:6" x14ac:dyDescent="0.3">
      <c r="A4" s="2" t="s">
        <v>3</v>
      </c>
      <c r="B4" s="3">
        <f>SUM(C9:C815)</f>
        <v>3261606</v>
      </c>
      <c r="D4" s="4" t="s">
        <v>4</v>
      </c>
    </row>
    <row r="5" spans="1:6" x14ac:dyDescent="0.3">
      <c r="A5" s="2" t="s">
        <v>5</v>
      </c>
      <c r="B5" s="5">
        <f>B4/B3</f>
        <v>0.57184680088280526</v>
      </c>
      <c r="D5" s="4" t="s">
        <v>6</v>
      </c>
    </row>
    <row r="6" spans="1:6" x14ac:dyDescent="0.3">
      <c r="A6" s="2" t="s">
        <v>7</v>
      </c>
      <c r="B6" s="5">
        <f>2*20/(20+50)</f>
        <v>0.5714285714285714</v>
      </c>
      <c r="D6" s="4" t="s">
        <v>8</v>
      </c>
    </row>
    <row r="7" spans="1:6" x14ac:dyDescent="0.3">
      <c r="D7" s="4" t="s">
        <v>9</v>
      </c>
    </row>
    <row r="8" spans="1:6" x14ac:dyDescent="0.3">
      <c r="A8" s="6" t="s">
        <v>10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15</v>
      </c>
    </row>
    <row r="9" spans="1:6" x14ac:dyDescent="0.3">
      <c r="A9" s="7">
        <v>40581</v>
      </c>
      <c r="B9" s="3">
        <v>5103</v>
      </c>
      <c r="C9" s="3">
        <v>2979</v>
      </c>
      <c r="D9" s="3">
        <f t="shared" ref="D9:D72" si="0">B9-C9</f>
        <v>2124</v>
      </c>
      <c r="E9" s="5">
        <f t="shared" ref="E9:E72" si="1">C9/B9</f>
        <v>0.58377425044091713</v>
      </c>
      <c r="F9" s="5">
        <f t="shared" ref="F9:F72" si="2">E9-$B$6</f>
        <v>1.2345679012345734E-2</v>
      </c>
    </row>
    <row r="10" spans="1:6" x14ac:dyDescent="0.3">
      <c r="A10" s="7">
        <v>40588</v>
      </c>
      <c r="B10" s="3">
        <v>7194</v>
      </c>
      <c r="C10" s="3">
        <v>3386</v>
      </c>
      <c r="D10" s="3">
        <f t="shared" si="0"/>
        <v>3808</v>
      </c>
      <c r="E10" s="5">
        <f t="shared" si="1"/>
        <v>0.47067000278009452</v>
      </c>
      <c r="F10" s="5">
        <f t="shared" si="2"/>
        <v>-0.10075856864847688</v>
      </c>
    </row>
    <row r="11" spans="1:6" x14ac:dyDescent="0.3">
      <c r="A11" s="7">
        <v>40595</v>
      </c>
      <c r="B11" s="3">
        <v>7158</v>
      </c>
      <c r="C11" s="3">
        <v>4071</v>
      </c>
      <c r="D11" s="3">
        <f t="shared" si="0"/>
        <v>3087</v>
      </c>
      <c r="E11" s="5">
        <f t="shared" si="1"/>
        <v>0.56873428331936293</v>
      </c>
      <c r="F11" s="5">
        <f t="shared" si="2"/>
        <v>-2.6942881092084647E-3</v>
      </c>
    </row>
    <row r="12" spans="1:6" x14ac:dyDescent="0.3">
      <c r="A12" s="7">
        <v>40602</v>
      </c>
      <c r="B12" s="3">
        <v>7191</v>
      </c>
      <c r="C12" s="3">
        <v>3254</v>
      </c>
      <c r="D12" s="3">
        <f t="shared" si="0"/>
        <v>3937</v>
      </c>
      <c r="E12" s="5">
        <f t="shared" si="1"/>
        <v>0.45251008204700321</v>
      </c>
      <c r="F12" s="5">
        <f t="shared" si="2"/>
        <v>-0.11891848938156818</v>
      </c>
    </row>
    <row r="13" spans="1:6" x14ac:dyDescent="0.3">
      <c r="A13" s="7">
        <v>40609</v>
      </c>
      <c r="B13" s="3">
        <v>7193</v>
      </c>
      <c r="C13" s="3">
        <v>4116</v>
      </c>
      <c r="D13" s="3">
        <f t="shared" si="0"/>
        <v>3077</v>
      </c>
      <c r="E13" s="5">
        <f t="shared" si="1"/>
        <v>0.57222299457806203</v>
      </c>
      <c r="F13" s="5">
        <f t="shared" si="2"/>
        <v>7.9442314949063064E-4</v>
      </c>
    </row>
    <row r="14" spans="1:6" x14ac:dyDescent="0.3">
      <c r="A14" s="7">
        <v>40616</v>
      </c>
      <c r="B14" s="3">
        <v>7138</v>
      </c>
      <c r="C14" s="3">
        <v>3721</v>
      </c>
      <c r="D14" s="3">
        <f t="shared" si="0"/>
        <v>3417</v>
      </c>
      <c r="E14" s="5">
        <f t="shared" si="1"/>
        <v>0.52129448024656766</v>
      </c>
      <c r="F14" s="5">
        <f t="shared" si="2"/>
        <v>-5.0134091182003737E-2</v>
      </c>
    </row>
    <row r="15" spans="1:6" x14ac:dyDescent="0.3">
      <c r="A15" s="7">
        <v>40623</v>
      </c>
      <c r="B15" s="3">
        <v>7033</v>
      </c>
      <c r="C15" s="3">
        <v>3127</v>
      </c>
      <c r="D15" s="3">
        <f t="shared" si="0"/>
        <v>3906</v>
      </c>
      <c r="E15" s="5">
        <f t="shared" si="1"/>
        <v>0.44461822835205461</v>
      </c>
      <c r="F15" s="5">
        <f t="shared" si="2"/>
        <v>-0.12681034307651678</v>
      </c>
    </row>
    <row r="16" spans="1:6" x14ac:dyDescent="0.3">
      <c r="A16" s="7">
        <v>40630</v>
      </c>
      <c r="B16" s="3">
        <v>7109</v>
      </c>
      <c r="C16" s="3">
        <v>4133</v>
      </c>
      <c r="D16" s="3">
        <f t="shared" si="0"/>
        <v>2976</v>
      </c>
      <c r="E16" s="5">
        <f t="shared" si="1"/>
        <v>0.58137572091714729</v>
      </c>
      <c r="F16" s="5">
        <f t="shared" si="2"/>
        <v>9.9471494885758904E-3</v>
      </c>
    </row>
    <row r="17" spans="1:6" x14ac:dyDescent="0.3">
      <c r="A17" s="7">
        <v>40637</v>
      </c>
      <c r="B17" s="3">
        <v>7115</v>
      </c>
      <c r="C17" s="3">
        <v>4572</v>
      </c>
      <c r="D17" s="3">
        <f t="shared" si="0"/>
        <v>2543</v>
      </c>
      <c r="E17" s="5">
        <f t="shared" si="1"/>
        <v>0.64258608573436404</v>
      </c>
      <c r="F17" s="5">
        <f t="shared" si="2"/>
        <v>7.1157514305792646E-2</v>
      </c>
    </row>
    <row r="18" spans="1:6" x14ac:dyDescent="0.3">
      <c r="A18" s="7">
        <v>40644</v>
      </c>
      <c r="B18" s="3">
        <v>7126</v>
      </c>
      <c r="C18" s="3">
        <v>4293</v>
      </c>
      <c r="D18" s="3">
        <f t="shared" si="0"/>
        <v>2833</v>
      </c>
      <c r="E18" s="5">
        <f t="shared" si="1"/>
        <v>0.60244176255964077</v>
      </c>
      <c r="F18" s="5">
        <f t="shared" si="2"/>
        <v>3.1013191131069373E-2</v>
      </c>
    </row>
    <row r="19" spans="1:6" x14ac:dyDescent="0.3">
      <c r="A19" s="7">
        <v>40651</v>
      </c>
      <c r="B19" s="3">
        <v>6952</v>
      </c>
      <c r="C19" s="3">
        <v>4635</v>
      </c>
      <c r="D19" s="3">
        <f t="shared" si="0"/>
        <v>2317</v>
      </c>
      <c r="E19" s="5">
        <f t="shared" si="1"/>
        <v>0.6667146144994246</v>
      </c>
      <c r="F19" s="5">
        <f t="shared" si="2"/>
        <v>9.5286043070853199E-2</v>
      </c>
    </row>
    <row r="20" spans="1:6" x14ac:dyDescent="0.3">
      <c r="A20" s="7">
        <v>40658</v>
      </c>
      <c r="B20" s="3">
        <v>7125</v>
      </c>
      <c r="C20" s="3">
        <v>3968</v>
      </c>
      <c r="D20" s="3">
        <f t="shared" si="0"/>
        <v>3157</v>
      </c>
      <c r="E20" s="5">
        <f t="shared" si="1"/>
        <v>0.55691228070175436</v>
      </c>
      <c r="F20" s="5">
        <f t="shared" si="2"/>
        <v>-1.4516290726817038E-2</v>
      </c>
    </row>
    <row r="21" spans="1:6" x14ac:dyDescent="0.3">
      <c r="A21" s="7">
        <v>40665</v>
      </c>
      <c r="B21" s="3">
        <v>7128</v>
      </c>
      <c r="C21" s="3">
        <v>4400</v>
      </c>
      <c r="D21" s="3">
        <f t="shared" si="0"/>
        <v>2728</v>
      </c>
      <c r="E21" s="5">
        <f t="shared" si="1"/>
        <v>0.61728395061728392</v>
      </c>
      <c r="F21" s="5">
        <f t="shared" si="2"/>
        <v>4.585537918871252E-2</v>
      </c>
    </row>
    <row r="22" spans="1:6" x14ac:dyDescent="0.3">
      <c r="A22" s="7">
        <v>40672</v>
      </c>
      <c r="B22" s="3">
        <v>7139</v>
      </c>
      <c r="C22" s="3">
        <v>4291</v>
      </c>
      <c r="D22" s="3">
        <f t="shared" si="0"/>
        <v>2848</v>
      </c>
      <c r="E22" s="5">
        <f t="shared" si="1"/>
        <v>0.60106457487043008</v>
      </c>
      <c r="F22" s="5">
        <f t="shared" si="2"/>
        <v>2.9636003441858683E-2</v>
      </c>
    </row>
    <row r="23" spans="1:6" x14ac:dyDescent="0.3">
      <c r="A23" s="7">
        <v>40679</v>
      </c>
      <c r="B23" s="3">
        <v>7143</v>
      </c>
      <c r="C23" s="3">
        <v>3779</v>
      </c>
      <c r="D23" s="3">
        <f t="shared" si="0"/>
        <v>3364</v>
      </c>
      <c r="E23" s="5">
        <f t="shared" si="1"/>
        <v>0.52904941901161973</v>
      </c>
      <c r="F23" s="5">
        <f t="shared" si="2"/>
        <v>-4.2379152416951671E-2</v>
      </c>
    </row>
    <row r="24" spans="1:6" x14ac:dyDescent="0.3">
      <c r="A24" s="7">
        <v>40686</v>
      </c>
      <c r="B24" s="3">
        <v>7138</v>
      </c>
      <c r="C24" s="3">
        <v>4038</v>
      </c>
      <c r="D24" s="3">
        <f t="shared" si="0"/>
        <v>3100</v>
      </c>
      <c r="E24" s="5">
        <f t="shared" si="1"/>
        <v>0.56570467918184364</v>
      </c>
      <c r="F24" s="5">
        <f t="shared" si="2"/>
        <v>-5.7238922467277575E-3</v>
      </c>
    </row>
    <row r="25" spans="1:6" x14ac:dyDescent="0.3">
      <c r="A25" s="7">
        <v>40693</v>
      </c>
      <c r="B25" s="3">
        <v>7090</v>
      </c>
      <c r="C25" s="3">
        <v>3574</v>
      </c>
      <c r="D25" s="3">
        <f t="shared" si="0"/>
        <v>3516</v>
      </c>
      <c r="E25" s="5">
        <f t="shared" si="1"/>
        <v>0.50409026798307477</v>
      </c>
      <c r="F25" s="5">
        <f t="shared" si="2"/>
        <v>-6.7338303445496628E-2</v>
      </c>
    </row>
    <row r="26" spans="1:6" x14ac:dyDescent="0.3">
      <c r="A26" s="7">
        <v>40700</v>
      </c>
      <c r="B26" s="3">
        <v>7100</v>
      </c>
      <c r="C26" s="3">
        <v>3682</v>
      </c>
      <c r="D26" s="3">
        <f t="shared" si="0"/>
        <v>3418</v>
      </c>
      <c r="E26" s="5">
        <f t="shared" si="1"/>
        <v>0.51859154929577467</v>
      </c>
      <c r="F26" s="5">
        <f t="shared" si="2"/>
        <v>-5.2837022132796729E-2</v>
      </c>
    </row>
    <row r="27" spans="1:6" x14ac:dyDescent="0.3">
      <c r="A27" s="7">
        <v>40707</v>
      </c>
      <c r="B27" s="3">
        <v>7142</v>
      </c>
      <c r="C27" s="3">
        <v>4079</v>
      </c>
      <c r="D27" s="3">
        <f t="shared" si="0"/>
        <v>3063</v>
      </c>
      <c r="E27" s="5">
        <f t="shared" si="1"/>
        <v>0.5711285354242509</v>
      </c>
      <c r="F27" s="5">
        <f t="shared" si="2"/>
        <v>-3.0003600432049193E-4</v>
      </c>
    </row>
    <row r="28" spans="1:6" x14ac:dyDescent="0.3">
      <c r="A28" s="7">
        <v>40714</v>
      </c>
      <c r="B28" s="3">
        <v>7144</v>
      </c>
      <c r="C28" s="3">
        <v>4523</v>
      </c>
      <c r="D28" s="3">
        <f t="shared" si="0"/>
        <v>2621</v>
      </c>
      <c r="E28" s="5">
        <f t="shared" si="1"/>
        <v>0.63311870100783874</v>
      </c>
      <c r="F28" s="5">
        <f t="shared" si="2"/>
        <v>6.1690129579267339E-2</v>
      </c>
    </row>
    <row r="29" spans="1:6" x14ac:dyDescent="0.3">
      <c r="A29" s="7">
        <v>40721</v>
      </c>
      <c r="B29" s="3">
        <v>7144</v>
      </c>
      <c r="C29" s="3">
        <v>4508</v>
      </c>
      <c r="D29" s="3">
        <f t="shared" si="0"/>
        <v>2636</v>
      </c>
      <c r="E29" s="5">
        <f t="shared" si="1"/>
        <v>0.63101903695408734</v>
      </c>
      <c r="F29" s="5">
        <f t="shared" si="2"/>
        <v>5.9590465525515945E-2</v>
      </c>
    </row>
    <row r="30" spans="1:6" x14ac:dyDescent="0.3">
      <c r="A30" s="7">
        <v>40728</v>
      </c>
      <c r="B30" s="3">
        <v>7098</v>
      </c>
      <c r="C30" s="3">
        <v>3935</v>
      </c>
      <c r="D30" s="3">
        <f t="shared" si="0"/>
        <v>3163</v>
      </c>
      <c r="E30" s="5">
        <f t="shared" si="1"/>
        <v>0.55438151591997742</v>
      </c>
      <c r="F30" s="5">
        <f t="shared" si="2"/>
        <v>-1.7047055508593978E-2</v>
      </c>
    </row>
    <row r="31" spans="1:6" x14ac:dyDescent="0.3">
      <c r="A31" s="7">
        <v>40735</v>
      </c>
      <c r="B31" s="3">
        <v>7104</v>
      </c>
      <c r="C31" s="3">
        <v>4395</v>
      </c>
      <c r="D31" s="3">
        <f t="shared" si="0"/>
        <v>2709</v>
      </c>
      <c r="E31" s="5">
        <f t="shared" si="1"/>
        <v>0.61866554054054057</v>
      </c>
      <c r="F31" s="5">
        <f t="shared" si="2"/>
        <v>4.7236969111969174E-2</v>
      </c>
    </row>
    <row r="32" spans="1:6" x14ac:dyDescent="0.3">
      <c r="A32" s="7">
        <v>40742</v>
      </c>
      <c r="B32" s="3">
        <v>7162</v>
      </c>
      <c r="C32" s="3">
        <v>3992</v>
      </c>
      <c r="D32" s="3">
        <f t="shared" si="0"/>
        <v>3170</v>
      </c>
      <c r="E32" s="5">
        <f t="shared" si="1"/>
        <v>0.55738620497067859</v>
      </c>
      <c r="F32" s="5">
        <f t="shared" si="2"/>
        <v>-1.4042366457892808E-2</v>
      </c>
    </row>
    <row r="33" spans="1:6" x14ac:dyDescent="0.3">
      <c r="A33" s="7">
        <v>40749</v>
      </c>
      <c r="B33" s="3">
        <v>7144</v>
      </c>
      <c r="C33" s="3">
        <v>3107</v>
      </c>
      <c r="D33" s="3">
        <f t="shared" si="0"/>
        <v>4037</v>
      </c>
      <c r="E33" s="5">
        <f t="shared" si="1"/>
        <v>0.43491041433370659</v>
      </c>
      <c r="F33" s="5">
        <f t="shared" si="2"/>
        <v>-0.13651815709486481</v>
      </c>
    </row>
    <row r="34" spans="1:6" x14ac:dyDescent="0.3">
      <c r="A34" s="7">
        <v>40756</v>
      </c>
      <c r="B34" s="3">
        <v>7168</v>
      </c>
      <c r="C34" s="3">
        <v>4177</v>
      </c>
      <c r="D34" s="3">
        <f t="shared" si="0"/>
        <v>2991</v>
      </c>
      <c r="E34" s="5">
        <f t="shared" si="1"/>
        <v>0.5827287946428571</v>
      </c>
      <c r="F34" s="5">
        <f t="shared" si="2"/>
        <v>1.1300223214285698E-2</v>
      </c>
    </row>
    <row r="35" spans="1:6" x14ac:dyDescent="0.3">
      <c r="A35" s="7">
        <v>40763</v>
      </c>
      <c r="B35" s="3">
        <v>7171</v>
      </c>
      <c r="C35" s="3">
        <v>3923</v>
      </c>
      <c r="D35" s="3">
        <f t="shared" si="0"/>
        <v>3248</v>
      </c>
      <c r="E35" s="5">
        <f t="shared" si="1"/>
        <v>0.54706456561149075</v>
      </c>
      <c r="F35" s="5">
        <f t="shared" si="2"/>
        <v>-2.4364005817080647E-2</v>
      </c>
    </row>
    <row r="36" spans="1:6" x14ac:dyDescent="0.3">
      <c r="A36" s="7">
        <v>40770</v>
      </c>
      <c r="B36" s="3">
        <v>7129</v>
      </c>
      <c r="C36" s="3">
        <v>4299</v>
      </c>
      <c r="D36" s="3">
        <f t="shared" si="0"/>
        <v>2830</v>
      </c>
      <c r="E36" s="5">
        <f t="shared" si="1"/>
        <v>0.60302987796324869</v>
      </c>
      <c r="F36" s="5">
        <f t="shared" si="2"/>
        <v>3.1601306534677298E-2</v>
      </c>
    </row>
    <row r="37" spans="1:6" x14ac:dyDescent="0.3">
      <c r="A37" s="7">
        <v>40777</v>
      </c>
      <c r="B37" s="3">
        <v>7171</v>
      </c>
      <c r="C37" s="3">
        <v>3922</v>
      </c>
      <c r="D37" s="3">
        <f t="shared" si="0"/>
        <v>3249</v>
      </c>
      <c r="E37" s="5">
        <f t="shared" si="1"/>
        <v>0.54692511504671593</v>
      </c>
      <c r="F37" s="5">
        <f t="shared" si="2"/>
        <v>-2.4503456381855471E-2</v>
      </c>
    </row>
    <row r="38" spans="1:6" x14ac:dyDescent="0.3">
      <c r="A38" s="7">
        <v>40784</v>
      </c>
      <c r="B38" s="3">
        <v>7154</v>
      </c>
      <c r="C38" s="3">
        <v>3946</v>
      </c>
      <c r="D38" s="3">
        <f t="shared" si="0"/>
        <v>3208</v>
      </c>
      <c r="E38" s="5">
        <f t="shared" si="1"/>
        <v>0.55157953592395859</v>
      </c>
      <c r="F38" s="5">
        <f t="shared" si="2"/>
        <v>-1.9849035504612811E-2</v>
      </c>
    </row>
    <row r="39" spans="1:6" x14ac:dyDescent="0.3">
      <c r="A39" s="7">
        <v>40791</v>
      </c>
      <c r="B39" s="3">
        <v>7172</v>
      </c>
      <c r="C39" s="3">
        <v>4704</v>
      </c>
      <c r="D39" s="3">
        <f t="shared" si="0"/>
        <v>2468</v>
      </c>
      <c r="E39" s="5">
        <f t="shared" si="1"/>
        <v>0.65588399330730618</v>
      </c>
      <c r="F39" s="5">
        <f t="shared" si="2"/>
        <v>8.4455421878734782E-2</v>
      </c>
    </row>
    <row r="40" spans="1:6" x14ac:dyDescent="0.3">
      <c r="A40" s="7">
        <v>40798</v>
      </c>
      <c r="B40" s="3">
        <v>7180</v>
      </c>
      <c r="C40" s="3">
        <v>4226</v>
      </c>
      <c r="D40" s="3">
        <f t="shared" si="0"/>
        <v>2954</v>
      </c>
      <c r="E40" s="5">
        <f t="shared" si="1"/>
        <v>0.5885793871866295</v>
      </c>
      <c r="F40" s="5">
        <f t="shared" si="2"/>
        <v>1.7150815758058102E-2</v>
      </c>
    </row>
    <row r="41" spans="1:6" x14ac:dyDescent="0.3">
      <c r="A41" s="7">
        <v>40805</v>
      </c>
      <c r="B41" s="3">
        <v>7186</v>
      </c>
      <c r="C41" s="3">
        <v>4052</v>
      </c>
      <c r="D41" s="3">
        <f t="shared" si="0"/>
        <v>3134</v>
      </c>
      <c r="E41" s="5">
        <f t="shared" si="1"/>
        <v>0.56387419983300868</v>
      </c>
      <c r="F41" s="5">
        <f t="shared" si="2"/>
        <v>-7.5543715955627144E-3</v>
      </c>
    </row>
    <row r="42" spans="1:6" x14ac:dyDescent="0.3">
      <c r="A42" s="7">
        <v>40812</v>
      </c>
      <c r="B42" s="3">
        <v>7180</v>
      </c>
      <c r="C42" s="3">
        <v>4218</v>
      </c>
      <c r="D42" s="3">
        <f t="shared" si="0"/>
        <v>2962</v>
      </c>
      <c r="E42" s="5">
        <f t="shared" si="1"/>
        <v>0.58746518105849577</v>
      </c>
      <c r="F42" s="5">
        <f t="shared" si="2"/>
        <v>1.603660962992437E-2</v>
      </c>
    </row>
    <row r="43" spans="1:6" x14ac:dyDescent="0.3">
      <c r="A43" s="7">
        <v>40819</v>
      </c>
      <c r="B43" s="3">
        <v>7179</v>
      </c>
      <c r="C43" s="3">
        <v>3690</v>
      </c>
      <c r="D43" s="3">
        <f t="shared" si="0"/>
        <v>3489</v>
      </c>
      <c r="E43" s="5">
        <f t="shared" si="1"/>
        <v>0.51399916422900127</v>
      </c>
      <c r="F43" s="5">
        <f t="shared" si="2"/>
        <v>-5.7429407199570126E-2</v>
      </c>
    </row>
    <row r="44" spans="1:6" x14ac:dyDescent="0.3">
      <c r="A44" s="7">
        <v>40826</v>
      </c>
      <c r="B44" s="3">
        <v>7153</v>
      </c>
      <c r="C44" s="3">
        <v>3682</v>
      </c>
      <c r="D44" s="3">
        <f t="shared" si="0"/>
        <v>3471</v>
      </c>
      <c r="E44" s="5">
        <f t="shared" si="1"/>
        <v>0.51474905633999724</v>
      </c>
      <c r="F44" s="5">
        <f t="shared" si="2"/>
        <v>-5.6679515088574162E-2</v>
      </c>
    </row>
    <row r="45" spans="1:6" x14ac:dyDescent="0.3">
      <c r="A45" s="7">
        <v>40833</v>
      </c>
      <c r="B45" s="3">
        <v>7153</v>
      </c>
      <c r="C45" s="3">
        <v>3845</v>
      </c>
      <c r="D45" s="3">
        <f t="shared" si="0"/>
        <v>3308</v>
      </c>
      <c r="E45" s="5">
        <f t="shared" si="1"/>
        <v>0.53753669788899761</v>
      </c>
      <c r="F45" s="5">
        <f t="shared" si="2"/>
        <v>-3.3891873539573791E-2</v>
      </c>
    </row>
    <row r="46" spans="1:6" x14ac:dyDescent="0.3">
      <c r="A46" s="7">
        <v>40840</v>
      </c>
      <c r="B46" s="3">
        <v>7185</v>
      </c>
      <c r="C46" s="3">
        <v>3625</v>
      </c>
      <c r="D46" s="3">
        <f t="shared" si="0"/>
        <v>3560</v>
      </c>
      <c r="E46" s="5">
        <f t="shared" si="1"/>
        <v>0.50452331245650661</v>
      </c>
      <c r="F46" s="5">
        <f t="shared" si="2"/>
        <v>-6.6905258972064785E-2</v>
      </c>
    </row>
    <row r="47" spans="1:6" x14ac:dyDescent="0.3">
      <c r="A47" s="7">
        <v>40847</v>
      </c>
      <c r="B47" s="3">
        <v>7124</v>
      </c>
      <c r="C47" s="3">
        <v>4058</v>
      </c>
      <c r="D47" s="3">
        <f t="shared" si="0"/>
        <v>3066</v>
      </c>
      <c r="E47" s="5">
        <f t="shared" si="1"/>
        <v>0.56962380685008418</v>
      </c>
      <c r="F47" s="5">
        <f t="shared" si="2"/>
        <v>-1.8047645784872168E-3</v>
      </c>
    </row>
    <row r="48" spans="1:6" x14ac:dyDescent="0.3">
      <c r="A48" s="7">
        <v>40854</v>
      </c>
      <c r="B48" s="3">
        <v>7138</v>
      </c>
      <c r="C48" s="3">
        <v>3795</v>
      </c>
      <c r="D48" s="3">
        <f t="shared" si="0"/>
        <v>3343</v>
      </c>
      <c r="E48" s="5">
        <f t="shared" si="1"/>
        <v>0.53166152984029136</v>
      </c>
      <c r="F48" s="5">
        <f t="shared" si="2"/>
        <v>-3.9767041588280039E-2</v>
      </c>
    </row>
    <row r="49" spans="1:6" x14ac:dyDescent="0.3">
      <c r="A49" s="7">
        <v>40861</v>
      </c>
      <c r="B49" s="3">
        <v>7185</v>
      </c>
      <c r="C49" s="3">
        <v>4502</v>
      </c>
      <c r="D49" s="3">
        <f t="shared" si="0"/>
        <v>2683</v>
      </c>
      <c r="E49" s="5">
        <f t="shared" si="1"/>
        <v>0.62658315935977726</v>
      </c>
      <c r="F49" s="5">
        <f t="shared" si="2"/>
        <v>5.5154587931205867E-2</v>
      </c>
    </row>
    <row r="50" spans="1:6" x14ac:dyDescent="0.3">
      <c r="A50" s="7">
        <v>40868</v>
      </c>
      <c r="B50" s="3">
        <v>7132</v>
      </c>
      <c r="C50" s="3">
        <v>4398</v>
      </c>
      <c r="D50" s="3">
        <f t="shared" si="0"/>
        <v>2734</v>
      </c>
      <c r="E50" s="5">
        <f t="shared" si="1"/>
        <v>0.61665731912507016</v>
      </c>
      <c r="F50" s="5">
        <f t="shared" si="2"/>
        <v>4.5228747696498761E-2</v>
      </c>
    </row>
    <row r="51" spans="1:6" x14ac:dyDescent="0.3">
      <c r="A51" s="7">
        <v>40875</v>
      </c>
      <c r="B51" s="3">
        <v>7170</v>
      </c>
      <c r="C51" s="3">
        <v>3575</v>
      </c>
      <c r="D51" s="3">
        <f t="shared" si="0"/>
        <v>3595</v>
      </c>
      <c r="E51" s="5">
        <f t="shared" si="1"/>
        <v>0.49860529986052998</v>
      </c>
      <c r="F51" s="5">
        <f t="shared" si="2"/>
        <v>-7.2823271568041414E-2</v>
      </c>
    </row>
    <row r="52" spans="1:6" x14ac:dyDescent="0.3">
      <c r="A52" s="7">
        <v>40882</v>
      </c>
      <c r="B52" s="3">
        <v>7182</v>
      </c>
      <c r="C52" s="3">
        <v>3725</v>
      </c>
      <c r="D52" s="3">
        <f t="shared" si="0"/>
        <v>3457</v>
      </c>
      <c r="E52" s="5">
        <f t="shared" si="1"/>
        <v>0.51865775549986082</v>
      </c>
      <c r="F52" s="5">
        <f t="shared" si="2"/>
        <v>-5.2770815928710579E-2</v>
      </c>
    </row>
    <row r="53" spans="1:6" x14ac:dyDescent="0.3">
      <c r="A53" s="7">
        <v>40889</v>
      </c>
      <c r="B53" s="3">
        <v>7173</v>
      </c>
      <c r="C53" s="3">
        <v>3743</v>
      </c>
      <c r="D53" s="3">
        <f t="shared" si="0"/>
        <v>3430</v>
      </c>
      <c r="E53" s="5">
        <f t="shared" si="1"/>
        <v>0.52181792834239504</v>
      </c>
      <c r="F53" s="5">
        <f t="shared" si="2"/>
        <v>-4.9610643086176354E-2</v>
      </c>
    </row>
    <row r="54" spans="1:6" x14ac:dyDescent="0.3">
      <c r="A54" s="7">
        <v>40896</v>
      </c>
      <c r="B54" s="3">
        <v>7172</v>
      </c>
      <c r="C54" s="3">
        <v>4248</v>
      </c>
      <c r="D54" s="3">
        <f t="shared" si="0"/>
        <v>2924</v>
      </c>
      <c r="E54" s="5">
        <f t="shared" si="1"/>
        <v>0.59230340211935306</v>
      </c>
      <c r="F54" s="5">
        <f t="shared" si="2"/>
        <v>2.0874830690781665E-2</v>
      </c>
    </row>
    <row r="55" spans="1:6" x14ac:dyDescent="0.3">
      <c r="A55" s="7">
        <v>40903</v>
      </c>
      <c r="B55" s="3">
        <v>6458</v>
      </c>
      <c r="C55" s="3">
        <v>4391</v>
      </c>
      <c r="D55" s="3">
        <f t="shared" si="0"/>
        <v>2067</v>
      </c>
      <c r="E55" s="5">
        <f t="shared" si="1"/>
        <v>0.67993186745122325</v>
      </c>
      <c r="F55" s="5">
        <f t="shared" si="2"/>
        <v>0.10850329602265185</v>
      </c>
    </row>
    <row r="56" spans="1:6" x14ac:dyDescent="0.3">
      <c r="A56" s="7">
        <v>40910</v>
      </c>
      <c r="B56" s="3">
        <v>6629</v>
      </c>
      <c r="C56" s="3">
        <v>3978</v>
      </c>
      <c r="D56" s="3">
        <f t="shared" si="0"/>
        <v>2651</v>
      </c>
      <c r="E56" s="5">
        <f t="shared" si="1"/>
        <v>0.60009051138934988</v>
      </c>
      <c r="F56" s="5">
        <f t="shared" si="2"/>
        <v>2.8661939960778482E-2</v>
      </c>
    </row>
    <row r="57" spans="1:6" x14ac:dyDescent="0.3">
      <c r="A57" s="7">
        <v>40917</v>
      </c>
      <c r="B57" s="3">
        <v>7186</v>
      </c>
      <c r="C57" s="3">
        <v>4231</v>
      </c>
      <c r="D57" s="3">
        <f t="shared" si="0"/>
        <v>2955</v>
      </c>
      <c r="E57" s="5">
        <f t="shared" si="1"/>
        <v>0.58878374617311435</v>
      </c>
      <c r="F57" s="5">
        <f t="shared" si="2"/>
        <v>1.7355174744542956E-2</v>
      </c>
    </row>
    <row r="58" spans="1:6" x14ac:dyDescent="0.3">
      <c r="A58" s="7">
        <v>40924</v>
      </c>
      <c r="B58" s="3">
        <v>7185</v>
      </c>
      <c r="C58" s="3">
        <v>4104</v>
      </c>
      <c r="D58" s="3">
        <f t="shared" si="0"/>
        <v>3081</v>
      </c>
      <c r="E58" s="5">
        <f t="shared" si="1"/>
        <v>0.57118997912317326</v>
      </c>
      <c r="F58" s="5">
        <f t="shared" si="2"/>
        <v>-2.3859230539813314E-4</v>
      </c>
    </row>
    <row r="59" spans="1:6" x14ac:dyDescent="0.3">
      <c r="A59" s="7">
        <v>40931</v>
      </c>
      <c r="B59" s="3">
        <v>7191</v>
      </c>
      <c r="C59" s="3">
        <v>3862</v>
      </c>
      <c r="D59" s="3">
        <f t="shared" si="0"/>
        <v>3329</v>
      </c>
      <c r="E59" s="5">
        <f t="shared" si="1"/>
        <v>0.53706021415658467</v>
      </c>
      <c r="F59" s="5">
        <f t="shared" si="2"/>
        <v>-3.4368357271986727E-2</v>
      </c>
    </row>
    <row r="60" spans="1:6" x14ac:dyDescent="0.3">
      <c r="A60" s="7">
        <v>40938</v>
      </c>
      <c r="B60" s="3">
        <v>7191</v>
      </c>
      <c r="C60" s="3">
        <v>4302</v>
      </c>
      <c r="D60" s="3">
        <f t="shared" si="0"/>
        <v>2889</v>
      </c>
      <c r="E60" s="5">
        <f t="shared" si="1"/>
        <v>0.59824780976220271</v>
      </c>
      <c r="F60" s="5">
        <f t="shared" si="2"/>
        <v>2.6819238333631312E-2</v>
      </c>
    </row>
    <row r="61" spans="1:6" x14ac:dyDescent="0.3">
      <c r="A61" s="7">
        <v>40945</v>
      </c>
      <c r="B61" s="3">
        <v>7194</v>
      </c>
      <c r="C61" s="3">
        <v>3755</v>
      </c>
      <c r="D61" s="3">
        <f t="shared" si="0"/>
        <v>3439</v>
      </c>
      <c r="E61" s="5">
        <f t="shared" si="1"/>
        <v>0.52196274673338894</v>
      </c>
      <c r="F61" s="5">
        <f t="shared" si="2"/>
        <v>-4.9465824695182459E-2</v>
      </c>
    </row>
    <row r="62" spans="1:6" x14ac:dyDescent="0.3">
      <c r="A62" s="7">
        <v>40952</v>
      </c>
      <c r="B62" s="3">
        <v>7174</v>
      </c>
      <c r="C62" s="3">
        <v>4587</v>
      </c>
      <c r="D62" s="3">
        <f t="shared" si="0"/>
        <v>2587</v>
      </c>
      <c r="E62" s="5">
        <f t="shared" si="1"/>
        <v>0.63939224979091158</v>
      </c>
      <c r="F62" s="5">
        <f t="shared" si="2"/>
        <v>6.7963678362340185E-2</v>
      </c>
    </row>
    <row r="63" spans="1:6" x14ac:dyDescent="0.3">
      <c r="A63" s="7">
        <v>40959</v>
      </c>
      <c r="B63" s="3">
        <v>7184</v>
      </c>
      <c r="C63" s="3">
        <v>4411</v>
      </c>
      <c r="D63" s="3">
        <f t="shared" si="0"/>
        <v>2773</v>
      </c>
      <c r="E63" s="5">
        <f t="shared" si="1"/>
        <v>0.61400334075723828</v>
      </c>
      <c r="F63" s="5">
        <f t="shared" si="2"/>
        <v>4.2574769328666884E-2</v>
      </c>
    </row>
    <row r="64" spans="1:6" x14ac:dyDescent="0.3">
      <c r="A64" s="7">
        <v>40966</v>
      </c>
      <c r="B64" s="3">
        <v>7197</v>
      </c>
      <c r="C64" s="3">
        <v>4463</v>
      </c>
      <c r="D64" s="3">
        <f t="shared" si="0"/>
        <v>2734</v>
      </c>
      <c r="E64" s="5">
        <f t="shared" si="1"/>
        <v>0.62011949423370849</v>
      </c>
      <c r="F64" s="5">
        <f t="shared" si="2"/>
        <v>4.8690922805137093E-2</v>
      </c>
    </row>
    <row r="65" spans="1:6" x14ac:dyDescent="0.3">
      <c r="A65" s="7">
        <v>40973</v>
      </c>
      <c r="B65" s="3">
        <v>7183</v>
      </c>
      <c r="C65" s="3">
        <v>4284</v>
      </c>
      <c r="D65" s="3">
        <f t="shared" si="0"/>
        <v>2899</v>
      </c>
      <c r="E65" s="5">
        <f t="shared" si="1"/>
        <v>0.59640818599470968</v>
      </c>
      <c r="F65" s="5">
        <f t="shared" si="2"/>
        <v>2.4979614566138286E-2</v>
      </c>
    </row>
    <row r="66" spans="1:6" x14ac:dyDescent="0.3">
      <c r="A66" s="7">
        <v>40980</v>
      </c>
      <c r="B66" s="3">
        <v>7132</v>
      </c>
      <c r="C66" s="3">
        <v>3623</v>
      </c>
      <c r="D66" s="3">
        <f t="shared" si="0"/>
        <v>3509</v>
      </c>
      <c r="E66" s="5">
        <f t="shared" si="1"/>
        <v>0.50799214806505888</v>
      </c>
      <c r="F66" s="5">
        <f t="shared" si="2"/>
        <v>-6.3436423363512517E-2</v>
      </c>
    </row>
    <row r="67" spans="1:6" x14ac:dyDescent="0.3">
      <c r="A67" s="7">
        <v>40987</v>
      </c>
      <c r="B67" s="3">
        <v>7128</v>
      </c>
      <c r="C67" s="3">
        <v>4712</v>
      </c>
      <c r="D67" s="3">
        <f t="shared" si="0"/>
        <v>2416</v>
      </c>
      <c r="E67" s="5">
        <f t="shared" si="1"/>
        <v>0.66105499438832771</v>
      </c>
      <c r="F67" s="5">
        <f t="shared" si="2"/>
        <v>8.9626422959756313E-2</v>
      </c>
    </row>
    <row r="68" spans="1:6" x14ac:dyDescent="0.3">
      <c r="A68" s="7">
        <v>40994</v>
      </c>
      <c r="B68" s="3">
        <v>7178</v>
      </c>
      <c r="C68" s="3">
        <v>3095</v>
      </c>
      <c r="D68" s="3">
        <f t="shared" si="0"/>
        <v>4083</v>
      </c>
      <c r="E68" s="5">
        <f t="shared" si="1"/>
        <v>0.43117860128169405</v>
      </c>
      <c r="F68" s="5">
        <f t="shared" si="2"/>
        <v>-0.14024997014687735</v>
      </c>
    </row>
    <row r="69" spans="1:6" x14ac:dyDescent="0.3">
      <c r="A69" s="7">
        <v>41001</v>
      </c>
      <c r="B69" s="3">
        <v>7182</v>
      </c>
      <c r="C69" s="3">
        <v>3439</v>
      </c>
      <c r="D69" s="3">
        <f t="shared" si="0"/>
        <v>3743</v>
      </c>
      <c r="E69" s="5">
        <f t="shared" si="1"/>
        <v>0.47883597883597884</v>
      </c>
      <c r="F69" s="5">
        <f t="shared" si="2"/>
        <v>-9.259259259259256E-2</v>
      </c>
    </row>
    <row r="70" spans="1:6" x14ac:dyDescent="0.3">
      <c r="A70" s="7">
        <v>41008</v>
      </c>
      <c r="B70" s="3">
        <v>7187</v>
      </c>
      <c r="C70" s="3">
        <v>4671</v>
      </c>
      <c r="D70" s="3">
        <f t="shared" si="0"/>
        <v>2516</v>
      </c>
      <c r="E70" s="5">
        <f t="shared" si="1"/>
        <v>0.64992347293724784</v>
      </c>
      <c r="F70" s="5">
        <f t="shared" si="2"/>
        <v>7.849490150867644E-2</v>
      </c>
    </row>
    <row r="71" spans="1:6" x14ac:dyDescent="0.3">
      <c r="A71" s="7">
        <v>41015</v>
      </c>
      <c r="B71" s="3">
        <v>7196</v>
      </c>
      <c r="C71" s="3">
        <v>4275</v>
      </c>
      <c r="D71" s="3">
        <f t="shared" si="0"/>
        <v>2921</v>
      </c>
      <c r="E71" s="5">
        <f t="shared" si="1"/>
        <v>0.59408004446914953</v>
      </c>
      <c r="F71" s="5">
        <f t="shared" si="2"/>
        <v>2.2651473040578129E-2</v>
      </c>
    </row>
    <row r="72" spans="1:6" x14ac:dyDescent="0.3">
      <c r="A72" s="7">
        <v>41022</v>
      </c>
      <c r="B72" s="3">
        <v>7182</v>
      </c>
      <c r="C72" s="3">
        <v>3108</v>
      </c>
      <c r="D72" s="3">
        <f t="shared" si="0"/>
        <v>4074</v>
      </c>
      <c r="E72" s="5">
        <f t="shared" si="1"/>
        <v>0.43274853801169588</v>
      </c>
      <c r="F72" s="5">
        <f t="shared" si="2"/>
        <v>-0.13868003341687551</v>
      </c>
    </row>
    <row r="73" spans="1:6" x14ac:dyDescent="0.3">
      <c r="A73" s="7">
        <v>41029</v>
      </c>
      <c r="B73" s="3">
        <v>7179</v>
      </c>
      <c r="C73" s="3">
        <v>3242</v>
      </c>
      <c r="D73" s="3">
        <f t="shared" ref="D73:D136" si="3">B73-C73</f>
        <v>3937</v>
      </c>
      <c r="E73" s="5">
        <f t="shared" ref="E73:E136" si="4">C73/B73</f>
        <v>0.45159492965594095</v>
      </c>
      <c r="F73" s="5">
        <f t="shared" ref="F73:F136" si="5">E73-$B$6</f>
        <v>-0.11983364177263045</v>
      </c>
    </row>
    <row r="74" spans="1:6" x14ac:dyDescent="0.3">
      <c r="A74" s="7">
        <v>41036</v>
      </c>
      <c r="B74" s="3">
        <v>7199</v>
      </c>
      <c r="C74" s="3">
        <v>3989</v>
      </c>
      <c r="D74" s="3">
        <f t="shared" si="3"/>
        <v>3210</v>
      </c>
      <c r="E74" s="5">
        <f t="shared" si="4"/>
        <v>0.55410473676899574</v>
      </c>
      <c r="F74" s="5">
        <f t="shared" si="5"/>
        <v>-1.7323834659575654E-2</v>
      </c>
    </row>
    <row r="75" spans="1:6" x14ac:dyDescent="0.3">
      <c r="A75" s="7">
        <v>41043</v>
      </c>
      <c r="B75" s="3">
        <v>7198</v>
      </c>
      <c r="C75" s="3">
        <v>4100</v>
      </c>
      <c r="D75" s="3">
        <f t="shared" si="3"/>
        <v>3098</v>
      </c>
      <c r="E75" s="5">
        <f t="shared" si="4"/>
        <v>0.56960266740761323</v>
      </c>
      <c r="F75" s="5">
        <f t="shared" si="5"/>
        <v>-1.8259040209581689E-3</v>
      </c>
    </row>
    <row r="76" spans="1:6" x14ac:dyDescent="0.3">
      <c r="A76" s="7">
        <v>41050</v>
      </c>
      <c r="B76" s="3">
        <v>7167</v>
      </c>
      <c r="C76" s="3">
        <v>4603</v>
      </c>
      <c r="D76" s="3">
        <f t="shared" si="3"/>
        <v>2564</v>
      </c>
      <c r="E76" s="5">
        <f t="shared" si="4"/>
        <v>0.64224919771173439</v>
      </c>
      <c r="F76" s="5">
        <f t="shared" si="5"/>
        <v>7.0820626283162991E-2</v>
      </c>
    </row>
    <row r="77" spans="1:6" x14ac:dyDescent="0.3">
      <c r="A77" s="7">
        <v>41057</v>
      </c>
      <c r="B77" s="3">
        <v>7175</v>
      </c>
      <c r="C77" s="3">
        <v>4071</v>
      </c>
      <c r="D77" s="3">
        <f t="shared" si="3"/>
        <v>3104</v>
      </c>
      <c r="E77" s="5">
        <f t="shared" si="4"/>
        <v>0.56738675958188156</v>
      </c>
      <c r="F77" s="5">
        <f t="shared" si="5"/>
        <v>-4.0418118466898356E-3</v>
      </c>
    </row>
    <row r="78" spans="1:6" x14ac:dyDescent="0.3">
      <c r="A78" s="7">
        <v>41064</v>
      </c>
      <c r="B78" s="3">
        <v>7197</v>
      </c>
      <c r="C78" s="3">
        <v>4647</v>
      </c>
      <c r="D78" s="3">
        <f t="shared" si="3"/>
        <v>2550</v>
      </c>
      <c r="E78" s="5">
        <f t="shared" si="4"/>
        <v>0.64568570237598999</v>
      </c>
      <c r="F78" s="5">
        <f t="shared" si="5"/>
        <v>7.4257130947418593E-2</v>
      </c>
    </row>
    <row r="79" spans="1:6" x14ac:dyDescent="0.3">
      <c r="A79" s="7">
        <v>41071</v>
      </c>
      <c r="B79" s="3">
        <v>7199</v>
      </c>
      <c r="C79" s="3">
        <v>3654</v>
      </c>
      <c r="D79" s="3">
        <f t="shared" si="3"/>
        <v>3545</v>
      </c>
      <c r="E79" s="5">
        <f t="shared" si="4"/>
        <v>0.5075704959022086</v>
      </c>
      <c r="F79" s="5">
        <f t="shared" si="5"/>
        <v>-6.3858075526362801E-2</v>
      </c>
    </row>
    <row r="80" spans="1:6" x14ac:dyDescent="0.3">
      <c r="A80" s="7">
        <v>41078</v>
      </c>
      <c r="B80" s="3">
        <v>7197</v>
      </c>
      <c r="C80" s="3">
        <v>3220</v>
      </c>
      <c r="D80" s="3">
        <f t="shared" si="3"/>
        <v>3977</v>
      </c>
      <c r="E80" s="5">
        <f t="shared" si="4"/>
        <v>0.44740864248992634</v>
      </c>
      <c r="F80" s="5">
        <f t="shared" si="5"/>
        <v>-0.12401992893864505</v>
      </c>
    </row>
    <row r="81" spans="1:6" x14ac:dyDescent="0.3">
      <c r="A81" s="7">
        <v>41085</v>
      </c>
      <c r="B81" s="3">
        <v>7192</v>
      </c>
      <c r="C81" s="3">
        <v>3942</v>
      </c>
      <c r="D81" s="3">
        <f t="shared" si="3"/>
        <v>3250</v>
      </c>
      <c r="E81" s="5">
        <f t="shared" si="4"/>
        <v>0.54810901001112344</v>
      </c>
      <c r="F81" s="5">
        <f t="shared" si="5"/>
        <v>-2.3319561417447954E-2</v>
      </c>
    </row>
    <row r="82" spans="1:6" x14ac:dyDescent="0.3">
      <c r="A82" s="7">
        <v>41092</v>
      </c>
      <c r="B82" s="3">
        <v>7188</v>
      </c>
      <c r="C82" s="3">
        <v>4473</v>
      </c>
      <c r="D82" s="3">
        <f t="shared" si="3"/>
        <v>2715</v>
      </c>
      <c r="E82" s="5">
        <f t="shared" si="4"/>
        <v>0.62228714524207007</v>
      </c>
      <c r="F82" s="5">
        <f t="shared" si="5"/>
        <v>5.0858573813498675E-2</v>
      </c>
    </row>
    <row r="83" spans="1:6" x14ac:dyDescent="0.3">
      <c r="A83" s="7">
        <v>41099</v>
      </c>
      <c r="B83" s="3">
        <v>7194</v>
      </c>
      <c r="C83" s="3">
        <v>2381</v>
      </c>
      <c r="D83" s="3">
        <f t="shared" si="3"/>
        <v>4813</v>
      </c>
      <c r="E83" s="5">
        <f t="shared" si="4"/>
        <v>0.33097025298860161</v>
      </c>
      <c r="F83" s="5">
        <f t="shared" si="5"/>
        <v>-0.24045831843996979</v>
      </c>
    </row>
    <row r="84" spans="1:6" x14ac:dyDescent="0.3">
      <c r="A84" s="7">
        <v>41106</v>
      </c>
      <c r="B84" s="3">
        <v>7192</v>
      </c>
      <c r="C84" s="3">
        <v>4710</v>
      </c>
      <c r="D84" s="3">
        <f t="shared" si="3"/>
        <v>2482</v>
      </c>
      <c r="E84" s="5">
        <f t="shared" si="4"/>
        <v>0.65489432703003336</v>
      </c>
      <c r="F84" s="5">
        <f t="shared" si="5"/>
        <v>8.3465755601461966E-2</v>
      </c>
    </row>
    <row r="85" spans="1:6" x14ac:dyDescent="0.3">
      <c r="A85" s="7">
        <v>41113</v>
      </c>
      <c r="B85" s="3">
        <v>7196</v>
      </c>
      <c r="C85" s="3">
        <v>3589</v>
      </c>
      <c r="D85" s="3">
        <f t="shared" si="3"/>
        <v>3607</v>
      </c>
      <c r="E85" s="5">
        <f t="shared" si="4"/>
        <v>0.49874930516953864</v>
      </c>
      <c r="F85" s="5">
        <f t="shared" si="5"/>
        <v>-7.267926625903276E-2</v>
      </c>
    </row>
    <row r="86" spans="1:6" x14ac:dyDescent="0.3">
      <c r="A86" s="7">
        <v>41120</v>
      </c>
      <c r="B86" s="3">
        <v>7196</v>
      </c>
      <c r="C86" s="3">
        <v>5198</v>
      </c>
      <c r="D86" s="3">
        <f t="shared" si="3"/>
        <v>1998</v>
      </c>
      <c r="E86" s="5">
        <f t="shared" si="4"/>
        <v>0.72234574763757642</v>
      </c>
      <c r="F86" s="5">
        <f t="shared" si="5"/>
        <v>0.15091717620900502</v>
      </c>
    </row>
    <row r="87" spans="1:6" x14ac:dyDescent="0.3">
      <c r="A87" s="7">
        <v>41127</v>
      </c>
      <c r="B87" s="3">
        <v>7198</v>
      </c>
      <c r="C87" s="3">
        <v>4025</v>
      </c>
      <c r="D87" s="3">
        <f t="shared" si="3"/>
        <v>3173</v>
      </c>
      <c r="E87" s="5">
        <f t="shared" si="4"/>
        <v>0.55918310641844959</v>
      </c>
      <c r="F87" s="5">
        <f t="shared" si="5"/>
        <v>-1.2245465010121803E-2</v>
      </c>
    </row>
    <row r="88" spans="1:6" x14ac:dyDescent="0.3">
      <c r="A88" s="7">
        <v>41134</v>
      </c>
      <c r="B88" s="3">
        <v>7184</v>
      </c>
      <c r="C88" s="3">
        <v>3333</v>
      </c>
      <c r="D88" s="3">
        <f t="shared" si="3"/>
        <v>3851</v>
      </c>
      <c r="E88" s="5">
        <f t="shared" si="4"/>
        <v>0.46394766146993316</v>
      </c>
      <c r="F88" s="5">
        <f t="shared" si="5"/>
        <v>-0.10748090995863824</v>
      </c>
    </row>
    <row r="89" spans="1:6" x14ac:dyDescent="0.3">
      <c r="A89" s="7">
        <v>41141</v>
      </c>
      <c r="B89" s="3">
        <v>7191</v>
      </c>
      <c r="C89" s="3">
        <v>4199</v>
      </c>
      <c r="D89" s="3">
        <f t="shared" si="3"/>
        <v>2992</v>
      </c>
      <c r="E89" s="5">
        <f t="shared" si="4"/>
        <v>0.58392434988179664</v>
      </c>
      <c r="F89" s="5">
        <f t="shared" si="5"/>
        <v>1.2495778453225248E-2</v>
      </c>
    </row>
    <row r="90" spans="1:6" x14ac:dyDescent="0.3">
      <c r="A90" s="7">
        <v>41148</v>
      </c>
      <c r="B90" s="3">
        <v>7188</v>
      </c>
      <c r="C90" s="3">
        <v>4089</v>
      </c>
      <c r="D90" s="3">
        <f t="shared" si="3"/>
        <v>3099</v>
      </c>
      <c r="E90" s="5">
        <f t="shared" si="4"/>
        <v>0.5688647746243739</v>
      </c>
      <c r="F90" s="5">
        <f t="shared" si="5"/>
        <v>-2.5637968041974935E-3</v>
      </c>
    </row>
    <row r="91" spans="1:6" x14ac:dyDescent="0.3">
      <c r="A91" s="7">
        <v>41155</v>
      </c>
      <c r="B91" s="3">
        <v>7168</v>
      </c>
      <c r="C91" s="3">
        <v>4381</v>
      </c>
      <c r="D91" s="3">
        <f t="shared" si="3"/>
        <v>2787</v>
      </c>
      <c r="E91" s="5">
        <f t="shared" si="4"/>
        <v>0.6111886160714286</v>
      </c>
      <c r="F91" s="5">
        <f t="shared" si="5"/>
        <v>3.9760044642857206E-2</v>
      </c>
    </row>
    <row r="92" spans="1:6" x14ac:dyDescent="0.3">
      <c r="A92" s="7">
        <v>41162</v>
      </c>
      <c r="B92" s="3">
        <v>7193</v>
      </c>
      <c r="C92" s="3">
        <v>3458</v>
      </c>
      <c r="D92" s="3">
        <f t="shared" si="3"/>
        <v>3735</v>
      </c>
      <c r="E92" s="5">
        <f t="shared" si="4"/>
        <v>0.48074516891422214</v>
      </c>
      <c r="F92" s="5">
        <f t="shared" si="5"/>
        <v>-9.0683402514349254E-2</v>
      </c>
    </row>
    <row r="93" spans="1:6" x14ac:dyDescent="0.3">
      <c r="A93" s="7">
        <v>41169</v>
      </c>
      <c r="B93" s="3">
        <v>7192</v>
      </c>
      <c r="C93" s="3">
        <v>4308</v>
      </c>
      <c r="D93" s="3">
        <f t="shared" si="3"/>
        <v>2884</v>
      </c>
      <c r="E93" s="5">
        <f t="shared" si="4"/>
        <v>0.59899888765294773</v>
      </c>
      <c r="F93" s="5">
        <f t="shared" si="5"/>
        <v>2.7570316224376334E-2</v>
      </c>
    </row>
    <row r="94" spans="1:6" x14ac:dyDescent="0.3">
      <c r="A94" s="7">
        <v>41176</v>
      </c>
      <c r="B94" s="3">
        <v>7186</v>
      </c>
      <c r="C94" s="3">
        <v>2890</v>
      </c>
      <c r="D94" s="3">
        <f t="shared" si="3"/>
        <v>4296</v>
      </c>
      <c r="E94" s="5">
        <f t="shared" si="4"/>
        <v>0.40217088783746174</v>
      </c>
      <c r="F94" s="5">
        <f t="shared" si="5"/>
        <v>-0.16925768359110965</v>
      </c>
    </row>
    <row r="95" spans="1:6" x14ac:dyDescent="0.3">
      <c r="A95" s="7">
        <v>41183</v>
      </c>
      <c r="B95" s="3">
        <v>7188</v>
      </c>
      <c r="C95" s="3">
        <v>4459</v>
      </c>
      <c r="D95" s="3">
        <f t="shared" si="3"/>
        <v>2729</v>
      </c>
      <c r="E95" s="5">
        <f t="shared" si="4"/>
        <v>0.62033945464663331</v>
      </c>
      <c r="F95" s="5">
        <f t="shared" si="5"/>
        <v>4.8910883218061918E-2</v>
      </c>
    </row>
    <row r="96" spans="1:6" x14ac:dyDescent="0.3">
      <c r="A96" s="7">
        <v>41190</v>
      </c>
      <c r="B96" s="3">
        <v>7189</v>
      </c>
      <c r="C96" s="3">
        <v>4532</v>
      </c>
      <c r="D96" s="3">
        <f t="shared" si="3"/>
        <v>2657</v>
      </c>
      <c r="E96" s="5">
        <f t="shared" si="4"/>
        <v>0.63040756711642787</v>
      </c>
      <c r="F96" s="5">
        <f t="shared" si="5"/>
        <v>5.8978995687856473E-2</v>
      </c>
    </row>
    <row r="97" spans="1:6" x14ac:dyDescent="0.3">
      <c r="A97" s="7">
        <v>41197</v>
      </c>
      <c r="B97" s="3">
        <v>7184</v>
      </c>
      <c r="C97" s="3">
        <v>4860</v>
      </c>
      <c r="D97" s="3">
        <f t="shared" si="3"/>
        <v>2324</v>
      </c>
      <c r="E97" s="5">
        <f t="shared" si="4"/>
        <v>0.67650334075723828</v>
      </c>
      <c r="F97" s="5">
        <f t="shared" si="5"/>
        <v>0.10507476932866688</v>
      </c>
    </row>
    <row r="98" spans="1:6" x14ac:dyDescent="0.3">
      <c r="A98" s="7">
        <v>41204</v>
      </c>
      <c r="B98" s="3">
        <v>7180</v>
      </c>
      <c r="C98" s="3">
        <v>4796</v>
      </c>
      <c r="D98" s="3">
        <f t="shared" si="3"/>
        <v>2384</v>
      </c>
      <c r="E98" s="5">
        <f t="shared" si="4"/>
        <v>0.66796657381615598</v>
      </c>
      <c r="F98" s="5">
        <f t="shared" si="5"/>
        <v>9.6538002387584587E-2</v>
      </c>
    </row>
    <row r="99" spans="1:6" x14ac:dyDescent="0.3">
      <c r="A99" s="7">
        <v>41211</v>
      </c>
      <c r="B99" s="3">
        <v>7102</v>
      </c>
      <c r="C99" s="3">
        <v>5096</v>
      </c>
      <c r="D99" s="3">
        <f t="shared" si="3"/>
        <v>2006</v>
      </c>
      <c r="E99" s="5">
        <f t="shared" si="4"/>
        <v>0.71754435370318215</v>
      </c>
      <c r="F99" s="5">
        <f t="shared" si="5"/>
        <v>0.14611578227461075</v>
      </c>
    </row>
    <row r="100" spans="1:6" x14ac:dyDescent="0.3">
      <c r="A100" s="7">
        <v>41218</v>
      </c>
      <c r="B100" s="3">
        <v>7180</v>
      </c>
      <c r="C100" s="3">
        <v>2884</v>
      </c>
      <c r="D100" s="3">
        <f t="shared" si="3"/>
        <v>4296</v>
      </c>
      <c r="E100" s="5">
        <f t="shared" si="4"/>
        <v>0.40167130919220057</v>
      </c>
      <c r="F100" s="5">
        <f t="shared" si="5"/>
        <v>-0.16975726223637083</v>
      </c>
    </row>
    <row r="101" spans="1:6" x14ac:dyDescent="0.3">
      <c r="A101" s="7">
        <v>41225</v>
      </c>
      <c r="B101" s="3">
        <v>7175</v>
      </c>
      <c r="C101" s="3">
        <v>4901</v>
      </c>
      <c r="D101" s="3">
        <f t="shared" si="3"/>
        <v>2274</v>
      </c>
      <c r="E101" s="5">
        <f t="shared" si="4"/>
        <v>0.68306620209059232</v>
      </c>
      <c r="F101" s="5">
        <f t="shared" si="5"/>
        <v>0.11163763066202093</v>
      </c>
    </row>
    <row r="102" spans="1:6" x14ac:dyDescent="0.3">
      <c r="A102" s="7">
        <v>41232</v>
      </c>
      <c r="B102" s="3">
        <v>7171</v>
      </c>
      <c r="C102" s="3">
        <v>5153</v>
      </c>
      <c r="D102" s="3">
        <f t="shared" si="3"/>
        <v>2018</v>
      </c>
      <c r="E102" s="5">
        <f t="shared" si="4"/>
        <v>0.71858876028447916</v>
      </c>
      <c r="F102" s="5">
        <f t="shared" si="5"/>
        <v>0.14716018885590776</v>
      </c>
    </row>
    <row r="103" spans="1:6" x14ac:dyDescent="0.3">
      <c r="A103" s="7">
        <v>41239</v>
      </c>
      <c r="B103" s="3">
        <v>7177</v>
      </c>
      <c r="C103" s="3">
        <v>4065</v>
      </c>
      <c r="D103" s="3">
        <f t="shared" si="3"/>
        <v>3112</v>
      </c>
      <c r="E103" s="5">
        <f t="shared" si="4"/>
        <v>0.56639264316566806</v>
      </c>
      <c r="F103" s="5">
        <f t="shared" si="5"/>
        <v>-5.0359282629033331E-3</v>
      </c>
    </row>
    <row r="104" spans="1:6" x14ac:dyDescent="0.3">
      <c r="A104" s="7">
        <v>41246</v>
      </c>
      <c r="B104" s="3">
        <v>7175</v>
      </c>
      <c r="C104" s="3">
        <v>5005</v>
      </c>
      <c r="D104" s="3">
        <f t="shared" si="3"/>
        <v>2170</v>
      </c>
      <c r="E104" s="5">
        <f t="shared" si="4"/>
        <v>0.69756097560975605</v>
      </c>
      <c r="F104" s="5">
        <f t="shared" si="5"/>
        <v>0.12613240418118465</v>
      </c>
    </row>
    <row r="105" spans="1:6" x14ac:dyDescent="0.3">
      <c r="A105" s="7">
        <v>41253</v>
      </c>
      <c r="B105" s="3">
        <v>7177</v>
      </c>
      <c r="C105" s="3">
        <v>5477</v>
      </c>
      <c r="D105" s="3">
        <f t="shared" si="3"/>
        <v>1700</v>
      </c>
      <c r="E105" s="5">
        <f t="shared" si="4"/>
        <v>0.76313222795039715</v>
      </c>
      <c r="F105" s="5">
        <f t="shared" si="5"/>
        <v>0.19170365652182575</v>
      </c>
    </row>
    <row r="106" spans="1:6" x14ac:dyDescent="0.3">
      <c r="A106" s="7">
        <v>41260</v>
      </c>
      <c r="B106" s="3">
        <v>7171</v>
      </c>
      <c r="C106" s="3">
        <v>5618</v>
      </c>
      <c r="D106" s="3">
        <f t="shared" si="3"/>
        <v>1553</v>
      </c>
      <c r="E106" s="5">
        <f t="shared" si="4"/>
        <v>0.78343327290475528</v>
      </c>
      <c r="F106" s="5">
        <f t="shared" si="5"/>
        <v>0.21200470147618389</v>
      </c>
    </row>
    <row r="107" spans="1:6" x14ac:dyDescent="0.3">
      <c r="A107" s="7">
        <v>41267</v>
      </c>
      <c r="B107" s="3">
        <v>5686</v>
      </c>
      <c r="C107" s="3">
        <v>3931</v>
      </c>
      <c r="D107" s="3">
        <f t="shared" si="3"/>
        <v>1755</v>
      </c>
      <c r="E107" s="5">
        <f t="shared" si="4"/>
        <v>0.6913471684839958</v>
      </c>
      <c r="F107" s="5">
        <f t="shared" si="5"/>
        <v>0.1199185970554244</v>
      </c>
    </row>
    <row r="108" spans="1:6" x14ac:dyDescent="0.3">
      <c r="A108" s="7">
        <v>41274</v>
      </c>
      <c r="B108" s="3">
        <v>5742</v>
      </c>
      <c r="C108" s="3">
        <v>3423</v>
      </c>
      <c r="D108" s="3">
        <f t="shared" si="3"/>
        <v>2319</v>
      </c>
      <c r="E108" s="5">
        <f t="shared" si="4"/>
        <v>0.59613375130616508</v>
      </c>
      <c r="F108" s="5">
        <f t="shared" si="5"/>
        <v>2.4705179877593686E-2</v>
      </c>
    </row>
    <row r="109" spans="1:6" x14ac:dyDescent="0.3">
      <c r="A109" s="7">
        <v>41281</v>
      </c>
      <c r="B109" s="3">
        <v>7187</v>
      </c>
      <c r="C109" s="3">
        <v>4377</v>
      </c>
      <c r="D109" s="3">
        <f t="shared" si="3"/>
        <v>2810</v>
      </c>
      <c r="E109" s="5">
        <f t="shared" si="4"/>
        <v>0.60901627939334912</v>
      </c>
      <c r="F109" s="5">
        <f t="shared" si="5"/>
        <v>3.7587707964777728E-2</v>
      </c>
    </row>
    <row r="110" spans="1:6" x14ac:dyDescent="0.3">
      <c r="A110" s="7">
        <v>41288</v>
      </c>
      <c r="B110" s="3">
        <v>7189</v>
      </c>
      <c r="C110" s="3">
        <v>3338</v>
      </c>
      <c r="D110" s="3">
        <f t="shared" si="3"/>
        <v>3851</v>
      </c>
      <c r="E110" s="5">
        <f t="shared" si="4"/>
        <v>0.46432048963694533</v>
      </c>
      <c r="F110" s="5">
        <f t="shared" si="5"/>
        <v>-0.10710808179162606</v>
      </c>
    </row>
    <row r="111" spans="1:6" x14ac:dyDescent="0.3">
      <c r="A111" s="7">
        <v>41295</v>
      </c>
      <c r="B111" s="3">
        <v>7177</v>
      </c>
      <c r="C111" s="3">
        <v>3764</v>
      </c>
      <c r="D111" s="3">
        <f t="shared" si="3"/>
        <v>3413</v>
      </c>
      <c r="E111" s="5">
        <f t="shared" si="4"/>
        <v>0.52445311411453255</v>
      </c>
      <c r="F111" s="5">
        <f t="shared" si="5"/>
        <v>-4.6975457314038849E-2</v>
      </c>
    </row>
    <row r="112" spans="1:6" x14ac:dyDescent="0.3">
      <c r="A112" s="7">
        <v>41302</v>
      </c>
      <c r="B112" s="3">
        <v>7182</v>
      </c>
      <c r="C112" s="3">
        <v>3788</v>
      </c>
      <c r="D112" s="3">
        <f t="shared" si="3"/>
        <v>3394</v>
      </c>
      <c r="E112" s="5">
        <f t="shared" si="4"/>
        <v>0.52742968532442214</v>
      </c>
      <c r="F112" s="5">
        <f t="shared" si="5"/>
        <v>-4.399888610414926E-2</v>
      </c>
    </row>
    <row r="113" spans="1:6" x14ac:dyDescent="0.3">
      <c r="A113" s="7">
        <v>41309</v>
      </c>
      <c r="B113" s="3">
        <v>7185</v>
      </c>
      <c r="C113" s="3">
        <v>4665</v>
      </c>
      <c r="D113" s="3">
        <f t="shared" si="3"/>
        <v>2520</v>
      </c>
      <c r="E113" s="5">
        <f t="shared" si="4"/>
        <v>0.64926931106471819</v>
      </c>
      <c r="F113" s="5">
        <f t="shared" si="5"/>
        <v>7.7840739636146794E-2</v>
      </c>
    </row>
    <row r="114" spans="1:6" x14ac:dyDescent="0.3">
      <c r="A114" s="7">
        <v>41316</v>
      </c>
      <c r="B114" s="3">
        <v>7169</v>
      </c>
      <c r="C114" s="3">
        <v>3946</v>
      </c>
      <c r="D114" s="3">
        <f t="shared" si="3"/>
        <v>3223</v>
      </c>
      <c r="E114" s="5">
        <f t="shared" si="4"/>
        <v>0.55042544287906259</v>
      </c>
      <c r="F114" s="5">
        <f t="shared" si="5"/>
        <v>-2.1003128549508809E-2</v>
      </c>
    </row>
    <row r="115" spans="1:6" x14ac:dyDescent="0.3">
      <c r="A115" s="7">
        <v>41323</v>
      </c>
      <c r="B115" s="3">
        <v>7142</v>
      </c>
      <c r="C115" s="3">
        <v>4074</v>
      </c>
      <c r="D115" s="3">
        <f t="shared" si="3"/>
        <v>3068</v>
      </c>
      <c r="E115" s="5">
        <f t="shared" si="4"/>
        <v>0.57042845141416965</v>
      </c>
      <c r="F115" s="5">
        <f t="shared" si="5"/>
        <v>-1.0001200144017508E-3</v>
      </c>
    </row>
    <row r="116" spans="1:6" x14ac:dyDescent="0.3">
      <c r="A116" s="7">
        <v>41330</v>
      </c>
      <c r="B116" s="3">
        <v>7181</v>
      </c>
      <c r="C116" s="3">
        <v>3983</v>
      </c>
      <c r="D116" s="3">
        <f t="shared" si="3"/>
        <v>3198</v>
      </c>
      <c r="E116" s="5">
        <f t="shared" si="4"/>
        <v>0.55465812560924665</v>
      </c>
      <c r="F116" s="5">
        <f t="shared" si="5"/>
        <v>-1.6770445819324742E-2</v>
      </c>
    </row>
    <row r="117" spans="1:6" x14ac:dyDescent="0.3">
      <c r="A117" s="7">
        <v>41337</v>
      </c>
      <c r="B117" s="3">
        <v>7180</v>
      </c>
      <c r="C117" s="3">
        <v>2843</v>
      </c>
      <c r="D117" s="3">
        <f t="shared" si="3"/>
        <v>4337</v>
      </c>
      <c r="E117" s="5">
        <f t="shared" si="4"/>
        <v>0.39596100278551533</v>
      </c>
      <c r="F117" s="5">
        <f t="shared" si="5"/>
        <v>-0.17546756864305607</v>
      </c>
    </row>
    <row r="118" spans="1:6" x14ac:dyDescent="0.3">
      <c r="A118" s="7">
        <v>41344</v>
      </c>
      <c r="B118" s="3">
        <v>7120</v>
      </c>
      <c r="C118" s="3">
        <v>3819</v>
      </c>
      <c r="D118" s="3">
        <f t="shared" si="3"/>
        <v>3301</v>
      </c>
      <c r="E118" s="5">
        <f t="shared" si="4"/>
        <v>0.53637640449438206</v>
      </c>
      <c r="F118" s="5">
        <f t="shared" si="5"/>
        <v>-3.5052166934189333E-2</v>
      </c>
    </row>
    <row r="119" spans="1:6" x14ac:dyDescent="0.3">
      <c r="A119" s="7">
        <v>41351</v>
      </c>
      <c r="B119" s="3">
        <v>7134</v>
      </c>
      <c r="C119" s="3">
        <v>4234</v>
      </c>
      <c r="D119" s="3">
        <f t="shared" si="3"/>
        <v>2900</v>
      </c>
      <c r="E119" s="5">
        <f t="shared" si="4"/>
        <v>0.5934959349593496</v>
      </c>
      <c r="F119" s="5">
        <f t="shared" si="5"/>
        <v>2.2067363530778206E-2</v>
      </c>
    </row>
    <row r="120" spans="1:6" x14ac:dyDescent="0.3">
      <c r="A120" s="7">
        <v>41358</v>
      </c>
      <c r="B120" s="3">
        <v>7094</v>
      </c>
      <c r="C120" s="3">
        <v>3427</v>
      </c>
      <c r="D120" s="3">
        <f t="shared" si="3"/>
        <v>3667</v>
      </c>
      <c r="E120" s="5">
        <f t="shared" si="4"/>
        <v>0.48308429658866647</v>
      </c>
      <c r="F120" s="5">
        <f t="shared" si="5"/>
        <v>-8.8344274839904924E-2</v>
      </c>
    </row>
    <row r="121" spans="1:6" x14ac:dyDescent="0.3">
      <c r="A121" s="7">
        <v>41365</v>
      </c>
      <c r="B121" s="3">
        <v>7172</v>
      </c>
      <c r="C121" s="3">
        <v>3730</v>
      </c>
      <c r="D121" s="3">
        <f t="shared" si="3"/>
        <v>3442</v>
      </c>
      <c r="E121" s="5">
        <f t="shared" si="4"/>
        <v>0.52007808142777467</v>
      </c>
      <c r="F121" s="5">
        <f t="shared" si="5"/>
        <v>-5.1350490000796722E-2</v>
      </c>
    </row>
    <row r="122" spans="1:6" x14ac:dyDescent="0.3">
      <c r="A122" s="7">
        <v>41372</v>
      </c>
      <c r="B122" s="3">
        <v>7180</v>
      </c>
      <c r="C122" s="3">
        <v>3712</v>
      </c>
      <c r="D122" s="3">
        <f t="shared" si="3"/>
        <v>3468</v>
      </c>
      <c r="E122" s="5">
        <f t="shared" si="4"/>
        <v>0.51699164345403903</v>
      </c>
      <c r="F122" s="5">
        <f t="shared" si="5"/>
        <v>-5.4436927974532368E-2</v>
      </c>
    </row>
    <row r="123" spans="1:6" x14ac:dyDescent="0.3">
      <c r="A123" s="7">
        <v>41379</v>
      </c>
      <c r="B123" s="3">
        <v>7187</v>
      </c>
      <c r="C123" s="3">
        <v>4059</v>
      </c>
      <c r="D123" s="3">
        <f t="shared" si="3"/>
        <v>3128</v>
      </c>
      <c r="E123" s="5">
        <f t="shared" si="4"/>
        <v>0.56476972311117291</v>
      </c>
      <c r="F123" s="5">
        <f t="shared" si="5"/>
        <v>-6.6588483173984914E-3</v>
      </c>
    </row>
    <row r="124" spans="1:6" x14ac:dyDescent="0.3">
      <c r="A124" s="7">
        <v>41386</v>
      </c>
      <c r="B124" s="3">
        <v>7165</v>
      </c>
      <c r="C124" s="3">
        <v>3103</v>
      </c>
      <c r="D124" s="3">
        <f t="shared" si="3"/>
        <v>4062</v>
      </c>
      <c r="E124" s="5">
        <f t="shared" si="4"/>
        <v>0.43307745987438939</v>
      </c>
      <c r="F124" s="5">
        <f t="shared" si="5"/>
        <v>-0.138351111554182</v>
      </c>
    </row>
    <row r="125" spans="1:6" x14ac:dyDescent="0.3">
      <c r="A125" s="7">
        <v>41393</v>
      </c>
      <c r="B125" s="3">
        <v>7141</v>
      </c>
      <c r="C125" s="3">
        <v>3977</v>
      </c>
      <c r="D125" s="3">
        <f t="shared" si="3"/>
        <v>3164</v>
      </c>
      <c r="E125" s="5">
        <f t="shared" si="4"/>
        <v>0.55692480044811654</v>
      </c>
      <c r="F125" s="5">
        <f t="shared" si="5"/>
        <v>-1.4503770980454855E-2</v>
      </c>
    </row>
    <row r="126" spans="1:6" x14ac:dyDescent="0.3">
      <c r="A126" s="7">
        <v>41400</v>
      </c>
      <c r="B126" s="3">
        <v>7129</v>
      </c>
      <c r="C126" s="3">
        <v>5620</v>
      </c>
      <c r="D126" s="3">
        <f t="shared" si="3"/>
        <v>1509</v>
      </c>
      <c r="E126" s="5">
        <f t="shared" si="4"/>
        <v>0.78832935895637535</v>
      </c>
      <c r="F126" s="5">
        <f t="shared" si="5"/>
        <v>0.21690078752780395</v>
      </c>
    </row>
    <row r="127" spans="1:6" x14ac:dyDescent="0.3">
      <c r="A127" s="7">
        <v>41407</v>
      </c>
      <c r="B127" s="3">
        <v>7152</v>
      </c>
      <c r="C127" s="3">
        <v>3826</v>
      </c>
      <c r="D127" s="3">
        <f t="shared" si="3"/>
        <v>3326</v>
      </c>
      <c r="E127" s="5">
        <f t="shared" si="4"/>
        <v>0.53495525727069348</v>
      </c>
      <c r="F127" s="5">
        <f t="shared" si="5"/>
        <v>-3.6473314157877912E-2</v>
      </c>
    </row>
    <row r="128" spans="1:6" x14ac:dyDescent="0.3">
      <c r="A128" s="7">
        <v>41414</v>
      </c>
      <c r="B128" s="3">
        <v>7171</v>
      </c>
      <c r="C128" s="3">
        <v>3985</v>
      </c>
      <c r="D128" s="3">
        <f t="shared" si="3"/>
        <v>3186</v>
      </c>
      <c r="E128" s="5">
        <f t="shared" si="4"/>
        <v>0.55571050062752758</v>
      </c>
      <c r="F128" s="5">
        <f t="shared" si="5"/>
        <v>-1.5718070801043815E-2</v>
      </c>
    </row>
    <row r="129" spans="1:6" x14ac:dyDescent="0.3">
      <c r="A129" s="7">
        <v>41421</v>
      </c>
      <c r="B129" s="3">
        <v>7146</v>
      </c>
      <c r="C129" s="3">
        <v>4591</v>
      </c>
      <c r="D129" s="3">
        <f t="shared" si="3"/>
        <v>2555</v>
      </c>
      <c r="E129" s="5">
        <f t="shared" si="4"/>
        <v>0.64245731877973689</v>
      </c>
      <c r="F129" s="5">
        <f t="shared" si="5"/>
        <v>7.1028747351165489E-2</v>
      </c>
    </row>
    <row r="130" spans="1:6" x14ac:dyDescent="0.3">
      <c r="A130" s="7">
        <v>41428</v>
      </c>
      <c r="B130" s="3">
        <v>7166</v>
      </c>
      <c r="C130" s="3">
        <v>2643</v>
      </c>
      <c r="D130" s="3">
        <f t="shared" si="3"/>
        <v>4523</v>
      </c>
      <c r="E130" s="5">
        <f t="shared" si="4"/>
        <v>0.36882500697739323</v>
      </c>
      <c r="F130" s="5">
        <f t="shared" si="5"/>
        <v>-0.20260356445117816</v>
      </c>
    </row>
    <row r="131" spans="1:6" x14ac:dyDescent="0.3">
      <c r="A131" s="7">
        <v>41435</v>
      </c>
      <c r="B131" s="3">
        <v>7169</v>
      </c>
      <c r="C131" s="3">
        <v>3230</v>
      </c>
      <c r="D131" s="3">
        <f t="shared" si="3"/>
        <v>3939</v>
      </c>
      <c r="E131" s="5">
        <f t="shared" si="4"/>
        <v>0.45055098340075322</v>
      </c>
      <c r="F131" s="5">
        <f t="shared" si="5"/>
        <v>-0.12087758802781817</v>
      </c>
    </row>
    <row r="132" spans="1:6" x14ac:dyDescent="0.3">
      <c r="A132" s="7">
        <v>41442</v>
      </c>
      <c r="B132" s="3">
        <v>7163</v>
      </c>
      <c r="C132" s="3">
        <v>3945</v>
      </c>
      <c r="D132" s="3">
        <f t="shared" si="3"/>
        <v>3218</v>
      </c>
      <c r="E132" s="5">
        <f t="shared" si="4"/>
        <v>0.55074689375959796</v>
      </c>
      <c r="F132" s="5">
        <f t="shared" si="5"/>
        <v>-2.0681677668973442E-2</v>
      </c>
    </row>
    <row r="133" spans="1:6" x14ac:dyDescent="0.3">
      <c r="A133" s="7">
        <v>41449</v>
      </c>
      <c r="B133" s="3">
        <v>7165</v>
      </c>
      <c r="C133" s="3">
        <v>3841</v>
      </c>
      <c r="D133" s="3">
        <f t="shared" si="3"/>
        <v>3324</v>
      </c>
      <c r="E133" s="5">
        <f t="shared" si="4"/>
        <v>0.53607815771109557</v>
      </c>
      <c r="F133" s="5">
        <f t="shared" si="5"/>
        <v>-3.5350413717475826E-2</v>
      </c>
    </row>
    <row r="134" spans="1:6" x14ac:dyDescent="0.3">
      <c r="A134" s="7">
        <v>41456</v>
      </c>
      <c r="B134" s="3">
        <v>7150</v>
      </c>
      <c r="C134" s="3">
        <v>5049</v>
      </c>
      <c r="D134" s="3">
        <f t="shared" si="3"/>
        <v>2101</v>
      </c>
      <c r="E134" s="5">
        <f t="shared" si="4"/>
        <v>0.70615384615384613</v>
      </c>
      <c r="F134" s="5">
        <f t="shared" si="5"/>
        <v>0.13472527472527474</v>
      </c>
    </row>
    <row r="135" spans="1:6" x14ac:dyDescent="0.3">
      <c r="A135" s="7">
        <v>41463</v>
      </c>
      <c r="B135" s="3">
        <v>7167</v>
      </c>
      <c r="C135" s="3">
        <v>4871</v>
      </c>
      <c r="D135" s="3">
        <f t="shared" si="3"/>
        <v>2296</v>
      </c>
      <c r="E135" s="5">
        <f t="shared" si="4"/>
        <v>0.6796428073112879</v>
      </c>
      <c r="F135" s="5">
        <f t="shared" si="5"/>
        <v>0.1082142358827165</v>
      </c>
    </row>
    <row r="136" spans="1:6" x14ac:dyDescent="0.3">
      <c r="A136" s="7">
        <v>41470</v>
      </c>
      <c r="B136" s="3">
        <v>7156</v>
      </c>
      <c r="C136" s="3">
        <v>3711</v>
      </c>
      <c r="D136" s="3">
        <f t="shared" si="3"/>
        <v>3445</v>
      </c>
      <c r="E136" s="5">
        <f t="shared" si="4"/>
        <v>0.51858580212409167</v>
      </c>
      <c r="F136" s="5">
        <f t="shared" si="5"/>
        <v>-5.2842769304479731E-2</v>
      </c>
    </row>
    <row r="137" spans="1:6" x14ac:dyDescent="0.3">
      <c r="A137" s="7">
        <v>41477</v>
      </c>
      <c r="B137" s="3">
        <v>7155</v>
      </c>
      <c r="C137" s="3">
        <v>2646</v>
      </c>
      <c r="D137" s="3">
        <f t="shared" ref="D137:D200" si="6">B137-C137</f>
        <v>4509</v>
      </c>
      <c r="E137" s="5">
        <f t="shared" ref="E137:E200" si="7">C137/B137</f>
        <v>0.36981132075471695</v>
      </c>
      <c r="F137" s="5">
        <f t="shared" ref="F137:F200" si="8">E137-$B$6</f>
        <v>-0.20161725067385444</v>
      </c>
    </row>
    <row r="138" spans="1:6" x14ac:dyDescent="0.3">
      <c r="A138" s="7">
        <v>41484</v>
      </c>
      <c r="B138" s="3">
        <v>7151</v>
      </c>
      <c r="C138" s="3">
        <v>2584</v>
      </c>
      <c r="D138" s="3">
        <f t="shared" si="6"/>
        <v>4567</v>
      </c>
      <c r="E138" s="5">
        <f t="shared" si="7"/>
        <v>0.36134806320794294</v>
      </c>
      <c r="F138" s="5">
        <f t="shared" si="8"/>
        <v>-0.21008050822062846</v>
      </c>
    </row>
    <row r="139" spans="1:6" x14ac:dyDescent="0.3">
      <c r="A139" s="7">
        <v>41491</v>
      </c>
      <c r="B139" s="3">
        <v>7138</v>
      </c>
      <c r="C139" s="3">
        <v>4788</v>
      </c>
      <c r="D139" s="3">
        <f t="shared" si="6"/>
        <v>2350</v>
      </c>
      <c r="E139" s="5">
        <f t="shared" si="7"/>
        <v>0.67077612776688145</v>
      </c>
      <c r="F139" s="5">
        <f t="shared" si="8"/>
        <v>9.934755633831005E-2</v>
      </c>
    </row>
    <row r="140" spans="1:6" x14ac:dyDescent="0.3">
      <c r="A140" s="7">
        <v>41498</v>
      </c>
      <c r="B140" s="3">
        <v>7124</v>
      </c>
      <c r="C140" s="3">
        <v>4082</v>
      </c>
      <c r="D140" s="3">
        <f t="shared" si="6"/>
        <v>3042</v>
      </c>
      <c r="E140" s="5">
        <f t="shared" si="7"/>
        <v>0.57299270072992703</v>
      </c>
      <c r="F140" s="5">
        <f t="shared" si="8"/>
        <v>1.5641293013556323E-3</v>
      </c>
    </row>
    <row r="141" spans="1:6" x14ac:dyDescent="0.3">
      <c r="A141" s="7">
        <v>41505</v>
      </c>
      <c r="B141" s="3">
        <v>7117</v>
      </c>
      <c r="C141" s="3">
        <v>4737</v>
      </c>
      <c r="D141" s="3">
        <f t="shared" si="6"/>
        <v>2380</v>
      </c>
      <c r="E141" s="5">
        <f t="shared" si="7"/>
        <v>0.66558943375017565</v>
      </c>
      <c r="F141" s="5">
        <f t="shared" si="8"/>
        <v>9.4160862321604255E-2</v>
      </c>
    </row>
    <row r="142" spans="1:6" x14ac:dyDescent="0.3">
      <c r="A142" s="7">
        <v>41512</v>
      </c>
      <c r="B142" s="3">
        <v>7112</v>
      </c>
      <c r="C142" s="3">
        <v>5601</v>
      </c>
      <c r="D142" s="3">
        <f t="shared" si="6"/>
        <v>1511</v>
      </c>
      <c r="E142" s="5">
        <f t="shared" si="7"/>
        <v>0.78754218222722161</v>
      </c>
      <c r="F142" s="5">
        <f t="shared" si="8"/>
        <v>0.21611361079865021</v>
      </c>
    </row>
    <row r="143" spans="1:6" x14ac:dyDescent="0.3">
      <c r="A143" s="7">
        <v>41519</v>
      </c>
      <c r="B143" s="3">
        <v>7081</v>
      </c>
      <c r="C143" s="3">
        <v>4641</v>
      </c>
      <c r="D143" s="3">
        <f t="shared" si="6"/>
        <v>2440</v>
      </c>
      <c r="E143" s="5">
        <f t="shared" si="7"/>
        <v>0.65541590170879815</v>
      </c>
      <c r="F143" s="5">
        <f t="shared" si="8"/>
        <v>8.3987330280226757E-2</v>
      </c>
    </row>
    <row r="144" spans="1:6" x14ac:dyDescent="0.3">
      <c r="A144" s="7">
        <v>41526</v>
      </c>
      <c r="B144" s="3">
        <v>7099</v>
      </c>
      <c r="C144" s="3">
        <v>3832</v>
      </c>
      <c r="D144" s="3">
        <f t="shared" si="6"/>
        <v>3267</v>
      </c>
      <c r="E144" s="5">
        <f t="shared" si="7"/>
        <v>0.53979433723059589</v>
      </c>
      <c r="F144" s="5">
        <f t="shared" si="8"/>
        <v>-3.1634234197975508E-2</v>
      </c>
    </row>
    <row r="145" spans="1:6" x14ac:dyDescent="0.3">
      <c r="A145" s="7">
        <v>41533</v>
      </c>
      <c r="B145" s="3">
        <v>7089</v>
      </c>
      <c r="C145" s="3">
        <v>4283</v>
      </c>
      <c r="D145" s="3">
        <f t="shared" si="6"/>
        <v>2806</v>
      </c>
      <c r="E145" s="5">
        <f t="shared" si="7"/>
        <v>0.60417548314289748</v>
      </c>
      <c r="F145" s="5">
        <f t="shared" si="8"/>
        <v>3.2746911714326088E-2</v>
      </c>
    </row>
    <row r="146" spans="1:6" x14ac:dyDescent="0.3">
      <c r="A146" s="7">
        <v>41540</v>
      </c>
      <c r="B146" s="3">
        <v>7046</v>
      </c>
      <c r="C146" s="3">
        <v>3770</v>
      </c>
      <c r="D146" s="3">
        <f t="shared" si="6"/>
        <v>3276</v>
      </c>
      <c r="E146" s="5">
        <f t="shared" si="7"/>
        <v>0.5350553505535055</v>
      </c>
      <c r="F146" s="5">
        <f t="shared" si="8"/>
        <v>-3.6373220875065893E-2</v>
      </c>
    </row>
    <row r="147" spans="1:6" x14ac:dyDescent="0.3">
      <c r="A147" s="7">
        <v>41547</v>
      </c>
      <c r="B147" s="3">
        <v>7112</v>
      </c>
      <c r="C147" s="3">
        <v>4949</v>
      </c>
      <c r="D147" s="3">
        <f t="shared" si="6"/>
        <v>2163</v>
      </c>
      <c r="E147" s="5">
        <f t="shared" si="7"/>
        <v>0.69586614173228345</v>
      </c>
      <c r="F147" s="5">
        <f t="shared" si="8"/>
        <v>0.12443757030371205</v>
      </c>
    </row>
    <row r="148" spans="1:6" x14ac:dyDescent="0.3">
      <c r="A148" s="7">
        <v>41554</v>
      </c>
      <c r="B148" s="3">
        <v>7140</v>
      </c>
      <c r="C148" s="3">
        <v>2603</v>
      </c>
      <c r="D148" s="3">
        <f t="shared" si="6"/>
        <v>4537</v>
      </c>
      <c r="E148" s="5">
        <f t="shared" si="7"/>
        <v>0.36456582633053219</v>
      </c>
      <c r="F148" s="5">
        <f t="shared" si="8"/>
        <v>-0.2068627450980392</v>
      </c>
    </row>
    <row r="149" spans="1:6" x14ac:dyDescent="0.3">
      <c r="A149" s="7">
        <v>41561</v>
      </c>
      <c r="B149" s="3">
        <v>7108</v>
      </c>
      <c r="C149" s="3">
        <v>4267</v>
      </c>
      <c r="D149" s="3">
        <f t="shared" si="6"/>
        <v>2841</v>
      </c>
      <c r="E149" s="5">
        <f t="shared" si="7"/>
        <v>0.60030951041080471</v>
      </c>
      <c r="F149" s="5">
        <f t="shared" si="8"/>
        <v>2.8880938982233317E-2</v>
      </c>
    </row>
    <row r="150" spans="1:6" x14ac:dyDescent="0.3">
      <c r="A150" s="7">
        <v>41568</v>
      </c>
      <c r="B150" s="3">
        <v>7113</v>
      </c>
      <c r="C150" s="3">
        <v>3182</v>
      </c>
      <c r="D150" s="3">
        <f t="shared" si="6"/>
        <v>3931</v>
      </c>
      <c r="E150" s="5">
        <f t="shared" si="7"/>
        <v>0.44734992267678897</v>
      </c>
      <c r="F150" s="5">
        <f t="shared" si="8"/>
        <v>-0.12407864875178243</v>
      </c>
    </row>
    <row r="151" spans="1:6" x14ac:dyDescent="0.3">
      <c r="A151" s="7">
        <v>41575</v>
      </c>
      <c r="B151" s="3">
        <v>7076</v>
      </c>
      <c r="C151" s="3">
        <v>4039</v>
      </c>
      <c r="D151" s="3">
        <f t="shared" si="6"/>
        <v>3037</v>
      </c>
      <c r="E151" s="5">
        <f t="shared" si="7"/>
        <v>0.57080271339739963</v>
      </c>
      <c r="F151" s="5">
        <f t="shared" si="8"/>
        <v>-6.2585803117176653E-4</v>
      </c>
    </row>
    <row r="152" spans="1:6" x14ac:dyDescent="0.3">
      <c r="A152" s="7">
        <v>41582</v>
      </c>
      <c r="B152" s="3">
        <v>7125</v>
      </c>
      <c r="C152" s="3">
        <v>4553</v>
      </c>
      <c r="D152" s="3">
        <f t="shared" si="6"/>
        <v>2572</v>
      </c>
      <c r="E152" s="5">
        <f t="shared" si="7"/>
        <v>0.63901754385964915</v>
      </c>
      <c r="F152" s="5">
        <f t="shared" si="8"/>
        <v>6.7588972431077754E-2</v>
      </c>
    </row>
    <row r="153" spans="1:6" x14ac:dyDescent="0.3">
      <c r="A153" s="7">
        <v>41589</v>
      </c>
      <c r="B153" s="3">
        <v>7133</v>
      </c>
      <c r="C153" s="3">
        <v>3138</v>
      </c>
      <c r="D153" s="3">
        <f t="shared" si="6"/>
        <v>3995</v>
      </c>
      <c r="E153" s="5">
        <f t="shared" si="7"/>
        <v>0.43992709939716806</v>
      </c>
      <c r="F153" s="5">
        <f t="shared" si="8"/>
        <v>-0.13150147203140333</v>
      </c>
    </row>
    <row r="154" spans="1:6" x14ac:dyDescent="0.3">
      <c r="A154" s="7">
        <v>41596</v>
      </c>
      <c r="B154" s="3">
        <v>7146</v>
      </c>
      <c r="C154" s="3">
        <v>4011</v>
      </c>
      <c r="D154" s="3">
        <f t="shared" si="6"/>
        <v>3135</v>
      </c>
      <c r="E154" s="5">
        <f t="shared" si="7"/>
        <v>0.56129303106633077</v>
      </c>
      <c r="F154" s="5">
        <f t="shared" si="8"/>
        <v>-1.0135540362240625E-2</v>
      </c>
    </row>
    <row r="155" spans="1:6" x14ac:dyDescent="0.3">
      <c r="A155" s="7">
        <v>41603</v>
      </c>
      <c r="B155" s="3">
        <v>7129</v>
      </c>
      <c r="C155" s="3">
        <v>4145</v>
      </c>
      <c r="D155" s="3">
        <f t="shared" si="6"/>
        <v>2984</v>
      </c>
      <c r="E155" s="5">
        <f t="shared" si="7"/>
        <v>0.58142797026230886</v>
      </c>
      <c r="F155" s="5">
        <f t="shared" si="8"/>
        <v>9.9993988337374606E-3</v>
      </c>
    </row>
    <row r="156" spans="1:6" x14ac:dyDescent="0.3">
      <c r="A156" s="7">
        <v>41610</v>
      </c>
      <c r="B156" s="3">
        <v>7142</v>
      </c>
      <c r="C156" s="3">
        <v>4303</v>
      </c>
      <c r="D156" s="3">
        <f t="shared" si="6"/>
        <v>2839</v>
      </c>
      <c r="E156" s="5">
        <f t="shared" si="7"/>
        <v>0.60249229907588908</v>
      </c>
      <c r="F156" s="5">
        <f t="shared" si="8"/>
        <v>3.1063727647317685E-2</v>
      </c>
    </row>
    <row r="157" spans="1:6" x14ac:dyDescent="0.3">
      <c r="A157" s="7">
        <v>41617</v>
      </c>
      <c r="B157" s="3">
        <v>7151</v>
      </c>
      <c r="C157" s="3">
        <v>4738</v>
      </c>
      <c r="D157" s="3">
        <f t="shared" si="6"/>
        <v>2413</v>
      </c>
      <c r="E157" s="5">
        <f t="shared" si="7"/>
        <v>0.66256467626905324</v>
      </c>
      <c r="F157" s="5">
        <f t="shared" si="8"/>
        <v>9.1136104840481846E-2</v>
      </c>
    </row>
    <row r="158" spans="1:6" x14ac:dyDescent="0.3">
      <c r="A158" s="7">
        <v>41624</v>
      </c>
      <c r="B158" s="3">
        <v>7140</v>
      </c>
      <c r="C158" s="3">
        <v>2282</v>
      </c>
      <c r="D158" s="3">
        <f t="shared" si="6"/>
        <v>4858</v>
      </c>
      <c r="E158" s="5">
        <f t="shared" si="7"/>
        <v>0.31960784313725488</v>
      </c>
      <c r="F158" s="5">
        <f t="shared" si="8"/>
        <v>-0.25182072829131652</v>
      </c>
    </row>
    <row r="159" spans="1:6" x14ac:dyDescent="0.3">
      <c r="A159" s="7">
        <v>41631</v>
      </c>
      <c r="B159" s="3">
        <v>5078</v>
      </c>
      <c r="C159" s="3">
        <v>2765</v>
      </c>
      <c r="D159" s="3">
        <f t="shared" si="6"/>
        <v>2313</v>
      </c>
      <c r="E159" s="5">
        <f t="shared" si="7"/>
        <v>0.54450571090980704</v>
      </c>
      <c r="F159" s="5">
        <f t="shared" si="8"/>
        <v>-2.6922860518764358E-2</v>
      </c>
    </row>
    <row r="160" spans="1:6" x14ac:dyDescent="0.3">
      <c r="A160" s="7">
        <v>41638</v>
      </c>
      <c r="B160" s="3">
        <v>5537</v>
      </c>
      <c r="C160" s="3">
        <v>4163</v>
      </c>
      <c r="D160" s="3">
        <f t="shared" si="6"/>
        <v>1374</v>
      </c>
      <c r="E160" s="5">
        <f t="shared" si="7"/>
        <v>0.75185118295105657</v>
      </c>
      <c r="F160" s="5">
        <f t="shared" si="8"/>
        <v>0.18042261152248518</v>
      </c>
    </row>
    <row r="161" spans="1:6" x14ac:dyDescent="0.3">
      <c r="A161" s="7">
        <v>41645</v>
      </c>
      <c r="B161" s="3">
        <v>7159</v>
      </c>
      <c r="C161" s="3">
        <v>3243</v>
      </c>
      <c r="D161" s="3">
        <f t="shared" si="6"/>
        <v>3916</v>
      </c>
      <c r="E161" s="5">
        <f t="shared" si="7"/>
        <v>0.45299622852353683</v>
      </c>
      <c r="F161" s="5">
        <f t="shared" si="8"/>
        <v>-0.11843234290503457</v>
      </c>
    </row>
    <row r="162" spans="1:6" x14ac:dyDescent="0.3">
      <c r="A162" s="7">
        <v>41652</v>
      </c>
      <c r="B162" s="3">
        <v>7125</v>
      </c>
      <c r="C162" s="3">
        <v>3518</v>
      </c>
      <c r="D162" s="3">
        <f t="shared" si="6"/>
        <v>3607</v>
      </c>
      <c r="E162" s="5">
        <f t="shared" si="7"/>
        <v>0.49375438596491228</v>
      </c>
      <c r="F162" s="5">
        <f t="shared" si="8"/>
        <v>-7.7674185463659118E-2</v>
      </c>
    </row>
    <row r="163" spans="1:6" x14ac:dyDescent="0.3">
      <c r="A163" s="7">
        <v>41659</v>
      </c>
      <c r="B163" s="3">
        <v>7143</v>
      </c>
      <c r="C163" s="3">
        <v>2972</v>
      </c>
      <c r="D163" s="3">
        <f t="shared" si="6"/>
        <v>4171</v>
      </c>
      <c r="E163" s="5">
        <f t="shared" si="7"/>
        <v>0.41607167856642868</v>
      </c>
      <c r="F163" s="5">
        <f t="shared" si="8"/>
        <v>-0.15535689286214271</v>
      </c>
    </row>
    <row r="164" spans="1:6" x14ac:dyDescent="0.3">
      <c r="A164" s="7">
        <v>41666</v>
      </c>
      <c r="B164" s="3">
        <v>7158</v>
      </c>
      <c r="C164" s="3">
        <v>3795</v>
      </c>
      <c r="D164" s="3">
        <f t="shared" si="6"/>
        <v>3363</v>
      </c>
      <c r="E164" s="5">
        <f t="shared" si="7"/>
        <v>0.53017602682313492</v>
      </c>
      <c r="F164" s="5">
        <f t="shared" si="8"/>
        <v>-4.1252544605436481E-2</v>
      </c>
    </row>
    <row r="165" spans="1:6" x14ac:dyDescent="0.3">
      <c r="A165" s="7">
        <v>41673</v>
      </c>
      <c r="B165" s="3">
        <v>7163</v>
      </c>
      <c r="C165" s="3">
        <v>2393</v>
      </c>
      <c r="D165" s="3">
        <f t="shared" si="6"/>
        <v>4770</v>
      </c>
      <c r="E165" s="5">
        <f t="shared" si="7"/>
        <v>0.33407790032109452</v>
      </c>
      <c r="F165" s="5">
        <f t="shared" si="8"/>
        <v>-0.23735067110747687</v>
      </c>
    </row>
    <row r="166" spans="1:6" x14ac:dyDescent="0.3">
      <c r="A166" s="7">
        <v>41680</v>
      </c>
      <c r="B166" s="3">
        <v>7099</v>
      </c>
      <c r="C166" s="3">
        <v>5481</v>
      </c>
      <c r="D166" s="3">
        <f t="shared" si="6"/>
        <v>1618</v>
      </c>
      <c r="E166" s="5">
        <f t="shared" si="7"/>
        <v>0.77208057472883507</v>
      </c>
      <c r="F166" s="5">
        <f t="shared" si="8"/>
        <v>0.20065200330026367</v>
      </c>
    </row>
    <row r="167" spans="1:6" x14ac:dyDescent="0.3">
      <c r="A167" s="7">
        <v>41687</v>
      </c>
      <c r="B167" s="3">
        <v>7091</v>
      </c>
      <c r="C167" s="3">
        <v>5605</v>
      </c>
      <c r="D167" s="3">
        <f t="shared" si="6"/>
        <v>1486</v>
      </c>
      <c r="E167" s="5">
        <f t="shared" si="7"/>
        <v>0.79043858412071644</v>
      </c>
      <c r="F167" s="5">
        <f t="shared" si="8"/>
        <v>0.21901001269214504</v>
      </c>
    </row>
    <row r="168" spans="1:6" x14ac:dyDescent="0.3">
      <c r="A168" s="7">
        <v>41694</v>
      </c>
      <c r="B168" s="3">
        <v>7119</v>
      </c>
      <c r="C168" s="3">
        <v>3813</v>
      </c>
      <c r="D168" s="3">
        <f t="shared" si="6"/>
        <v>3306</v>
      </c>
      <c r="E168" s="5">
        <f t="shared" si="7"/>
        <v>0.53560893383902231</v>
      </c>
      <c r="F168" s="5">
        <f t="shared" si="8"/>
        <v>-3.5819637589549091E-2</v>
      </c>
    </row>
    <row r="169" spans="1:6" x14ac:dyDescent="0.3">
      <c r="A169" s="7">
        <v>41701</v>
      </c>
      <c r="B169" s="3">
        <v>7108</v>
      </c>
      <c r="C169" s="3">
        <v>4184</v>
      </c>
      <c r="D169" s="3">
        <f t="shared" si="6"/>
        <v>2924</v>
      </c>
      <c r="E169" s="5">
        <f t="shared" si="7"/>
        <v>0.58863252673044453</v>
      </c>
      <c r="F169" s="5">
        <f t="shared" si="8"/>
        <v>1.7203955301873131E-2</v>
      </c>
    </row>
    <row r="170" spans="1:6" x14ac:dyDescent="0.3">
      <c r="A170" s="7">
        <v>41708</v>
      </c>
      <c r="B170" s="3">
        <v>7046</v>
      </c>
      <c r="C170" s="3">
        <v>4358</v>
      </c>
      <c r="D170" s="3">
        <f t="shared" si="6"/>
        <v>2688</v>
      </c>
      <c r="E170" s="5">
        <f t="shared" si="7"/>
        <v>0.61850695430031222</v>
      </c>
      <c r="F170" s="5">
        <f t="shared" si="8"/>
        <v>4.707838287174082E-2</v>
      </c>
    </row>
    <row r="171" spans="1:6" x14ac:dyDescent="0.3">
      <c r="A171" s="7">
        <v>41715</v>
      </c>
      <c r="B171" s="3">
        <v>7018</v>
      </c>
      <c r="C171" s="3">
        <v>4036</v>
      </c>
      <c r="D171" s="3">
        <f t="shared" si="6"/>
        <v>2982</v>
      </c>
      <c r="E171" s="5">
        <f t="shared" si="7"/>
        <v>0.57509261897976627</v>
      </c>
      <c r="F171" s="5">
        <f t="shared" si="8"/>
        <v>3.6640475511948711E-3</v>
      </c>
    </row>
    <row r="172" spans="1:6" x14ac:dyDescent="0.3">
      <c r="A172" s="7">
        <v>41722</v>
      </c>
      <c r="B172" s="3">
        <v>7072</v>
      </c>
      <c r="C172" s="3">
        <v>4435</v>
      </c>
      <c r="D172" s="3">
        <f t="shared" si="6"/>
        <v>2637</v>
      </c>
      <c r="E172" s="5">
        <f t="shared" si="7"/>
        <v>0.62712104072398189</v>
      </c>
      <c r="F172" s="5">
        <f t="shared" si="8"/>
        <v>5.5692469295410496E-2</v>
      </c>
    </row>
    <row r="173" spans="1:6" x14ac:dyDescent="0.3">
      <c r="A173" s="7">
        <v>41729</v>
      </c>
      <c r="B173" s="3">
        <v>7131</v>
      </c>
      <c r="C173" s="3">
        <v>1424</v>
      </c>
      <c r="D173" s="3">
        <f t="shared" si="6"/>
        <v>5707</v>
      </c>
      <c r="E173" s="5">
        <f t="shared" si="7"/>
        <v>0.19969148786986399</v>
      </c>
      <c r="F173" s="5">
        <f t="shared" si="8"/>
        <v>-0.37173708355870738</v>
      </c>
    </row>
    <row r="174" spans="1:6" x14ac:dyDescent="0.3">
      <c r="A174" s="7">
        <v>41736</v>
      </c>
      <c r="B174" s="3">
        <v>7137</v>
      </c>
      <c r="C174" s="3">
        <v>6140</v>
      </c>
      <c r="D174" s="3">
        <f t="shared" si="6"/>
        <v>997</v>
      </c>
      <c r="E174" s="5">
        <f t="shared" si="7"/>
        <v>0.86030545046938489</v>
      </c>
      <c r="F174" s="5">
        <f t="shared" si="8"/>
        <v>0.28887687904081349</v>
      </c>
    </row>
    <row r="175" spans="1:6" x14ac:dyDescent="0.3">
      <c r="A175" s="7">
        <v>41743</v>
      </c>
      <c r="B175" s="3">
        <v>7120</v>
      </c>
      <c r="C175" s="3">
        <v>2141</v>
      </c>
      <c r="D175" s="3">
        <f t="shared" si="6"/>
        <v>4979</v>
      </c>
      <c r="E175" s="5">
        <f t="shared" si="7"/>
        <v>0.30070224719101124</v>
      </c>
      <c r="F175" s="5">
        <f t="shared" si="8"/>
        <v>-0.27072632423756016</v>
      </c>
    </row>
    <row r="176" spans="1:6" x14ac:dyDescent="0.3">
      <c r="A176" s="7">
        <v>41750</v>
      </c>
      <c r="B176" s="3">
        <v>7107</v>
      </c>
      <c r="C176" s="3">
        <v>2452</v>
      </c>
      <c r="D176" s="3">
        <f t="shared" si="6"/>
        <v>4655</v>
      </c>
      <c r="E176" s="5">
        <f t="shared" si="7"/>
        <v>0.34501196003939777</v>
      </c>
      <c r="F176" s="5">
        <f t="shared" si="8"/>
        <v>-0.22641661138917363</v>
      </c>
    </row>
    <row r="177" spans="1:6" x14ac:dyDescent="0.3">
      <c r="A177" s="7">
        <v>41757</v>
      </c>
      <c r="B177" s="3">
        <v>7128</v>
      </c>
      <c r="C177" s="3">
        <v>3869</v>
      </c>
      <c r="D177" s="3">
        <f t="shared" si="6"/>
        <v>3259</v>
      </c>
      <c r="E177" s="5">
        <f t="shared" si="7"/>
        <v>0.54278900112233441</v>
      </c>
      <c r="F177" s="5">
        <f t="shared" si="8"/>
        <v>-2.8639570306236983E-2</v>
      </c>
    </row>
    <row r="178" spans="1:6" x14ac:dyDescent="0.3">
      <c r="A178" s="7">
        <v>41764</v>
      </c>
      <c r="B178" s="3">
        <v>7137</v>
      </c>
      <c r="C178" s="3">
        <v>5553</v>
      </c>
      <c r="D178" s="3">
        <f t="shared" si="6"/>
        <v>1584</v>
      </c>
      <c r="E178" s="5">
        <f t="shared" si="7"/>
        <v>0.77805800756620425</v>
      </c>
      <c r="F178" s="5">
        <f t="shared" si="8"/>
        <v>0.20662943613763285</v>
      </c>
    </row>
    <row r="179" spans="1:6" x14ac:dyDescent="0.3">
      <c r="A179" s="7">
        <v>41771</v>
      </c>
      <c r="B179" s="3">
        <v>7138</v>
      </c>
      <c r="C179" s="3">
        <v>4961</v>
      </c>
      <c r="D179" s="3">
        <f t="shared" si="6"/>
        <v>2177</v>
      </c>
      <c r="E179" s="5">
        <f t="shared" si="7"/>
        <v>0.69501260857383018</v>
      </c>
      <c r="F179" s="5">
        <f t="shared" si="8"/>
        <v>0.12358403714525878</v>
      </c>
    </row>
    <row r="180" spans="1:6" x14ac:dyDescent="0.3">
      <c r="A180" s="7">
        <v>41778</v>
      </c>
      <c r="B180" s="3">
        <v>7136</v>
      </c>
      <c r="C180" s="3">
        <v>3804</v>
      </c>
      <c r="D180" s="3">
        <f t="shared" si="6"/>
        <v>3332</v>
      </c>
      <c r="E180" s="5">
        <f t="shared" si="7"/>
        <v>0.53307174887892372</v>
      </c>
      <c r="F180" s="5">
        <f t="shared" si="8"/>
        <v>-3.8356822549647673E-2</v>
      </c>
    </row>
    <row r="181" spans="1:6" x14ac:dyDescent="0.3">
      <c r="A181" s="7">
        <v>41785</v>
      </c>
      <c r="B181" s="3">
        <v>7127</v>
      </c>
      <c r="C181" s="3">
        <v>2989</v>
      </c>
      <c r="D181" s="3">
        <f t="shared" si="6"/>
        <v>4138</v>
      </c>
      <c r="E181" s="5">
        <f t="shared" si="7"/>
        <v>0.41939104812684158</v>
      </c>
      <c r="F181" s="5">
        <f t="shared" si="8"/>
        <v>-0.15203752330172982</v>
      </c>
    </row>
    <row r="182" spans="1:6" x14ac:dyDescent="0.3">
      <c r="A182" s="7">
        <v>41792</v>
      </c>
      <c r="B182" s="3">
        <v>7116</v>
      </c>
      <c r="C182" s="3">
        <v>2245</v>
      </c>
      <c r="D182" s="3">
        <f t="shared" si="6"/>
        <v>4871</v>
      </c>
      <c r="E182" s="5">
        <f t="shared" si="7"/>
        <v>0.31548622821810007</v>
      </c>
      <c r="F182" s="5">
        <f t="shared" si="8"/>
        <v>-0.25594234321047132</v>
      </c>
    </row>
    <row r="183" spans="1:6" x14ac:dyDescent="0.3">
      <c r="A183" s="7">
        <v>41799</v>
      </c>
      <c r="B183" s="3">
        <v>7035</v>
      </c>
      <c r="C183" s="3">
        <v>2963</v>
      </c>
      <c r="D183" s="3">
        <f t="shared" si="6"/>
        <v>4072</v>
      </c>
      <c r="E183" s="5">
        <f t="shared" si="7"/>
        <v>0.42117981520966596</v>
      </c>
      <c r="F183" s="5">
        <f t="shared" si="8"/>
        <v>-0.15024875621890543</v>
      </c>
    </row>
    <row r="184" spans="1:6" x14ac:dyDescent="0.3">
      <c r="A184" s="7">
        <v>41806</v>
      </c>
      <c r="B184" s="3">
        <v>7059</v>
      </c>
      <c r="C184" s="3">
        <v>3758</v>
      </c>
      <c r="D184" s="3">
        <f t="shared" si="6"/>
        <v>3301</v>
      </c>
      <c r="E184" s="5">
        <f t="shared" si="7"/>
        <v>0.53237002408273126</v>
      </c>
      <c r="F184" s="5">
        <f t="shared" si="8"/>
        <v>-3.9058547345840133E-2</v>
      </c>
    </row>
    <row r="185" spans="1:6" x14ac:dyDescent="0.3">
      <c r="A185" s="7">
        <v>41813</v>
      </c>
      <c r="B185" s="3">
        <v>6972</v>
      </c>
      <c r="C185" s="3">
        <v>4358</v>
      </c>
      <c r="D185" s="3">
        <f t="shared" si="6"/>
        <v>2614</v>
      </c>
      <c r="E185" s="5">
        <f t="shared" si="7"/>
        <v>0.6250717154331612</v>
      </c>
      <c r="F185" s="5">
        <f t="shared" si="8"/>
        <v>5.3643144004589804E-2</v>
      </c>
    </row>
    <row r="186" spans="1:6" x14ac:dyDescent="0.3">
      <c r="A186" s="7">
        <v>41820</v>
      </c>
      <c r="B186" s="3">
        <v>6955</v>
      </c>
      <c r="C186" s="3">
        <v>5364</v>
      </c>
      <c r="D186" s="3">
        <f t="shared" si="6"/>
        <v>1591</v>
      </c>
      <c r="E186" s="5">
        <f t="shared" si="7"/>
        <v>0.77124370956146659</v>
      </c>
      <c r="F186" s="5">
        <f t="shared" si="8"/>
        <v>0.1998151381328952</v>
      </c>
    </row>
    <row r="187" spans="1:6" x14ac:dyDescent="0.3">
      <c r="A187" s="7">
        <v>41827</v>
      </c>
      <c r="B187" s="3">
        <v>6928</v>
      </c>
      <c r="C187" s="3">
        <v>2510</v>
      </c>
      <c r="D187" s="3">
        <f t="shared" si="6"/>
        <v>4418</v>
      </c>
      <c r="E187" s="5">
        <f t="shared" si="7"/>
        <v>0.36229792147806006</v>
      </c>
      <c r="F187" s="5">
        <f t="shared" si="8"/>
        <v>-0.20913064995051134</v>
      </c>
    </row>
    <row r="188" spans="1:6" x14ac:dyDescent="0.3">
      <c r="A188" s="7">
        <v>41834</v>
      </c>
      <c r="B188" s="3">
        <v>7043</v>
      </c>
      <c r="C188" s="3">
        <v>3754</v>
      </c>
      <c r="D188" s="3">
        <f t="shared" si="6"/>
        <v>3289</v>
      </c>
      <c r="E188" s="5">
        <f t="shared" si="7"/>
        <v>0.53301150078091719</v>
      </c>
      <c r="F188" s="5">
        <f t="shared" si="8"/>
        <v>-3.8417070647654206E-2</v>
      </c>
    </row>
    <row r="189" spans="1:6" x14ac:dyDescent="0.3">
      <c r="A189" s="7">
        <v>41841</v>
      </c>
      <c r="B189" s="3">
        <v>6970</v>
      </c>
      <c r="C189" s="3">
        <v>5574</v>
      </c>
      <c r="D189" s="3">
        <f t="shared" si="6"/>
        <v>1396</v>
      </c>
      <c r="E189" s="5">
        <f t="shared" si="7"/>
        <v>0.79971305595408892</v>
      </c>
      <c r="F189" s="5">
        <f t="shared" si="8"/>
        <v>0.22828448452551753</v>
      </c>
    </row>
    <row r="190" spans="1:6" x14ac:dyDescent="0.3">
      <c r="A190" s="7">
        <v>41848</v>
      </c>
      <c r="B190" s="3">
        <v>7024</v>
      </c>
      <c r="C190" s="3">
        <v>4640</v>
      </c>
      <c r="D190" s="3">
        <f t="shared" si="6"/>
        <v>2384</v>
      </c>
      <c r="E190" s="5">
        <f t="shared" si="7"/>
        <v>0.66059225512528474</v>
      </c>
      <c r="F190" s="5">
        <f t="shared" si="8"/>
        <v>8.9163683696713347E-2</v>
      </c>
    </row>
    <row r="191" spans="1:6" x14ac:dyDescent="0.3">
      <c r="A191" s="7">
        <v>41855</v>
      </c>
      <c r="B191" s="3">
        <v>7051</v>
      </c>
      <c r="C191" s="3">
        <v>4204</v>
      </c>
      <c r="D191" s="3">
        <f t="shared" si="6"/>
        <v>2847</v>
      </c>
      <c r="E191" s="5">
        <f t="shared" si="7"/>
        <v>0.59622748546305493</v>
      </c>
      <c r="F191" s="5">
        <f t="shared" si="8"/>
        <v>2.4798914034483532E-2</v>
      </c>
    </row>
    <row r="192" spans="1:6" x14ac:dyDescent="0.3">
      <c r="A192" s="7">
        <v>41862</v>
      </c>
      <c r="B192" s="3">
        <v>7035</v>
      </c>
      <c r="C192" s="3">
        <v>3043</v>
      </c>
      <c r="D192" s="3">
        <f t="shared" si="6"/>
        <v>3992</v>
      </c>
      <c r="E192" s="5">
        <f t="shared" si="7"/>
        <v>0.43255152807391611</v>
      </c>
      <c r="F192" s="5">
        <f t="shared" si="8"/>
        <v>-0.13887704335465528</v>
      </c>
    </row>
    <row r="193" spans="1:6" x14ac:dyDescent="0.3">
      <c r="A193" s="7">
        <v>41869</v>
      </c>
      <c r="B193" s="3">
        <v>7054</v>
      </c>
      <c r="C193" s="3">
        <v>5607</v>
      </c>
      <c r="D193" s="3">
        <f t="shared" si="6"/>
        <v>1447</v>
      </c>
      <c r="E193" s="5">
        <f t="shared" si="7"/>
        <v>0.79486815990927129</v>
      </c>
      <c r="F193" s="5">
        <f t="shared" si="8"/>
        <v>0.22343958848069989</v>
      </c>
    </row>
    <row r="194" spans="1:6" x14ac:dyDescent="0.3">
      <c r="A194" s="7">
        <v>41876</v>
      </c>
      <c r="B194" s="3">
        <v>7114</v>
      </c>
      <c r="C194" s="3">
        <v>3528</v>
      </c>
      <c r="D194" s="3">
        <f t="shared" si="6"/>
        <v>3586</v>
      </c>
      <c r="E194" s="5">
        <f t="shared" si="7"/>
        <v>0.49592353106550463</v>
      </c>
      <c r="F194" s="5">
        <f t="shared" si="8"/>
        <v>-7.5505040363066767E-2</v>
      </c>
    </row>
    <row r="195" spans="1:6" x14ac:dyDescent="0.3">
      <c r="A195" s="7">
        <v>41883</v>
      </c>
      <c r="B195" s="3">
        <v>7092</v>
      </c>
      <c r="C195" s="3">
        <v>2975</v>
      </c>
      <c r="D195" s="3">
        <f t="shared" si="6"/>
        <v>4117</v>
      </c>
      <c r="E195" s="5">
        <f t="shared" si="7"/>
        <v>0.41948674562887761</v>
      </c>
      <c r="F195" s="5">
        <f t="shared" si="8"/>
        <v>-0.15194182579969379</v>
      </c>
    </row>
    <row r="196" spans="1:6" x14ac:dyDescent="0.3">
      <c r="A196" s="7">
        <v>41890</v>
      </c>
      <c r="B196" s="3">
        <v>7151</v>
      </c>
      <c r="C196" s="3">
        <v>4118</v>
      </c>
      <c r="D196" s="3">
        <f t="shared" si="6"/>
        <v>3033</v>
      </c>
      <c r="E196" s="5">
        <f t="shared" si="7"/>
        <v>0.57586351559222482</v>
      </c>
      <c r="F196" s="5">
        <f t="shared" si="8"/>
        <v>4.4349441636534204E-3</v>
      </c>
    </row>
    <row r="197" spans="1:6" x14ac:dyDescent="0.3">
      <c r="A197" s="7">
        <v>41897</v>
      </c>
      <c r="B197" s="3">
        <v>7153</v>
      </c>
      <c r="C197" s="3">
        <v>4162</v>
      </c>
      <c r="D197" s="3">
        <f t="shared" si="6"/>
        <v>2991</v>
      </c>
      <c r="E197" s="5">
        <f t="shared" si="7"/>
        <v>0.58185376764993713</v>
      </c>
      <c r="F197" s="5">
        <f t="shared" si="8"/>
        <v>1.0425196221365729E-2</v>
      </c>
    </row>
    <row r="198" spans="1:6" x14ac:dyDescent="0.3">
      <c r="A198" s="7">
        <v>41904</v>
      </c>
      <c r="B198" s="3">
        <v>7156</v>
      </c>
      <c r="C198" s="3">
        <v>4952</v>
      </c>
      <c r="D198" s="3">
        <f t="shared" si="6"/>
        <v>2204</v>
      </c>
      <c r="E198" s="5">
        <f t="shared" si="7"/>
        <v>0.69200670765790939</v>
      </c>
      <c r="F198" s="5">
        <f t="shared" si="8"/>
        <v>0.120578136229338</v>
      </c>
    </row>
    <row r="199" spans="1:6" x14ac:dyDescent="0.3">
      <c r="A199" s="7">
        <v>41911</v>
      </c>
      <c r="B199" s="3">
        <v>7142</v>
      </c>
      <c r="C199" s="3">
        <v>4211</v>
      </c>
      <c r="D199" s="3">
        <f t="shared" si="6"/>
        <v>2931</v>
      </c>
      <c r="E199" s="5">
        <f t="shared" si="7"/>
        <v>0.58961075329039481</v>
      </c>
      <c r="F199" s="5">
        <f t="shared" si="8"/>
        <v>1.818218186182341E-2</v>
      </c>
    </row>
    <row r="200" spans="1:6" x14ac:dyDescent="0.3">
      <c r="A200" s="7">
        <v>41918</v>
      </c>
      <c r="B200" s="3">
        <v>7167</v>
      </c>
      <c r="C200" s="3">
        <v>4472</v>
      </c>
      <c r="D200" s="3">
        <f t="shared" si="6"/>
        <v>2695</v>
      </c>
      <c r="E200" s="5">
        <f t="shared" si="7"/>
        <v>0.62397097809404212</v>
      </c>
      <c r="F200" s="5">
        <f t="shared" si="8"/>
        <v>5.254240666547072E-2</v>
      </c>
    </row>
    <row r="201" spans="1:6" x14ac:dyDescent="0.3">
      <c r="A201" s="7">
        <v>41925</v>
      </c>
      <c r="B201" s="3">
        <v>7158</v>
      </c>
      <c r="C201" s="3">
        <v>3771</v>
      </c>
      <c r="D201" s="3">
        <f t="shared" ref="D201:D264" si="9">B201-C201</f>
        <v>3387</v>
      </c>
      <c r="E201" s="5">
        <f t="shared" ref="E201:E264" si="10">C201/B201</f>
        <v>0.52682313495389776</v>
      </c>
      <c r="F201" s="5">
        <f t="shared" ref="F201:F264" si="11">E201-$B$6</f>
        <v>-4.4605436474673632E-2</v>
      </c>
    </row>
    <row r="202" spans="1:6" x14ac:dyDescent="0.3">
      <c r="A202" s="7">
        <v>41932</v>
      </c>
      <c r="B202" s="3">
        <v>7163</v>
      </c>
      <c r="C202" s="3">
        <v>3588</v>
      </c>
      <c r="D202" s="3">
        <f t="shared" si="9"/>
        <v>3575</v>
      </c>
      <c r="E202" s="5">
        <f t="shared" si="10"/>
        <v>0.50090744101633389</v>
      </c>
      <c r="F202" s="5">
        <f t="shared" si="11"/>
        <v>-7.0521130412237509E-2</v>
      </c>
    </row>
    <row r="203" spans="1:6" x14ac:dyDescent="0.3">
      <c r="A203" s="7">
        <v>41939</v>
      </c>
      <c r="B203" s="3">
        <v>7080</v>
      </c>
      <c r="C203" s="3">
        <v>3464</v>
      </c>
      <c r="D203" s="3">
        <f t="shared" si="9"/>
        <v>3616</v>
      </c>
      <c r="E203" s="5">
        <f t="shared" si="10"/>
        <v>0.48926553672316386</v>
      </c>
      <c r="F203" s="5">
        <f t="shared" si="11"/>
        <v>-8.2163034705407534E-2</v>
      </c>
    </row>
    <row r="204" spans="1:6" x14ac:dyDescent="0.3">
      <c r="A204" s="7">
        <v>41946</v>
      </c>
      <c r="B204" s="3">
        <v>7109</v>
      </c>
      <c r="C204" s="3">
        <v>4642</v>
      </c>
      <c r="D204" s="3">
        <f t="shared" si="9"/>
        <v>2467</v>
      </c>
      <c r="E204" s="5">
        <f t="shared" si="10"/>
        <v>0.65297510198340136</v>
      </c>
      <c r="F204" s="5">
        <f t="shared" si="11"/>
        <v>8.1546530554829966E-2</v>
      </c>
    </row>
    <row r="205" spans="1:6" x14ac:dyDescent="0.3">
      <c r="A205" s="7">
        <v>41953</v>
      </c>
      <c r="B205" s="3">
        <v>7169</v>
      </c>
      <c r="C205" s="3">
        <v>3268</v>
      </c>
      <c r="D205" s="3">
        <f t="shared" si="9"/>
        <v>3901</v>
      </c>
      <c r="E205" s="5">
        <f t="shared" si="10"/>
        <v>0.45585158320546798</v>
      </c>
      <c r="F205" s="5">
        <f t="shared" si="11"/>
        <v>-0.11557698822310342</v>
      </c>
    </row>
    <row r="206" spans="1:6" x14ac:dyDescent="0.3">
      <c r="A206" s="7">
        <v>41960</v>
      </c>
      <c r="B206" s="3">
        <v>7157</v>
      </c>
      <c r="C206" s="3">
        <v>4345</v>
      </c>
      <c r="D206" s="3">
        <f t="shared" si="9"/>
        <v>2812</v>
      </c>
      <c r="E206" s="5">
        <f t="shared" si="10"/>
        <v>0.6070979460667878</v>
      </c>
      <c r="F206" s="5">
        <f t="shared" si="11"/>
        <v>3.56693746382164E-2</v>
      </c>
    </row>
    <row r="207" spans="1:6" x14ac:dyDescent="0.3">
      <c r="A207" s="7">
        <v>41967</v>
      </c>
      <c r="B207" s="3">
        <v>7102</v>
      </c>
      <c r="C207" s="3">
        <v>2869</v>
      </c>
      <c r="D207" s="3">
        <f t="shared" si="9"/>
        <v>4233</v>
      </c>
      <c r="E207" s="5">
        <f t="shared" si="10"/>
        <v>0.40397071247535904</v>
      </c>
      <c r="F207" s="5">
        <f t="shared" si="11"/>
        <v>-0.16745785895321236</v>
      </c>
    </row>
    <row r="208" spans="1:6" x14ac:dyDescent="0.3">
      <c r="A208" s="7">
        <v>41974</v>
      </c>
      <c r="B208" s="3">
        <v>7160</v>
      </c>
      <c r="C208" s="3">
        <v>4172</v>
      </c>
      <c r="D208" s="3">
        <f t="shared" si="9"/>
        <v>2988</v>
      </c>
      <c r="E208" s="5">
        <f t="shared" si="10"/>
        <v>0.58268156424581008</v>
      </c>
      <c r="F208" s="5">
        <f t="shared" si="11"/>
        <v>1.1252992817238683E-2</v>
      </c>
    </row>
    <row r="209" spans="1:6" x14ac:dyDescent="0.3">
      <c r="A209" s="7">
        <v>41981</v>
      </c>
      <c r="B209" s="3">
        <v>7142</v>
      </c>
      <c r="C209" s="3">
        <v>4290</v>
      </c>
      <c r="D209" s="3">
        <f t="shared" si="9"/>
        <v>2852</v>
      </c>
      <c r="E209" s="5">
        <f t="shared" si="10"/>
        <v>0.60067208064967792</v>
      </c>
      <c r="F209" s="5">
        <f t="shared" si="11"/>
        <v>2.9243509221106523E-2</v>
      </c>
    </row>
    <row r="210" spans="1:6" x14ac:dyDescent="0.3">
      <c r="A210" s="7">
        <v>41988</v>
      </c>
      <c r="B210" s="3">
        <v>7170</v>
      </c>
      <c r="C210" s="3">
        <v>4629</v>
      </c>
      <c r="D210" s="3">
        <f t="shared" si="9"/>
        <v>2541</v>
      </c>
      <c r="E210" s="5">
        <f t="shared" si="10"/>
        <v>0.64560669456066944</v>
      </c>
      <c r="F210" s="5">
        <f t="shared" si="11"/>
        <v>7.4178123132098039E-2</v>
      </c>
    </row>
    <row r="211" spans="1:6" x14ac:dyDescent="0.3">
      <c r="A211" s="7">
        <v>41995</v>
      </c>
      <c r="B211" s="3">
        <v>5109</v>
      </c>
      <c r="C211" s="3">
        <v>2240</v>
      </c>
      <c r="D211" s="3">
        <f t="shared" si="9"/>
        <v>2869</v>
      </c>
      <c r="E211" s="5">
        <f t="shared" si="10"/>
        <v>0.43844196515952238</v>
      </c>
      <c r="F211" s="5">
        <f t="shared" si="11"/>
        <v>-0.13298660626904901</v>
      </c>
    </row>
    <row r="212" spans="1:6" x14ac:dyDescent="0.3">
      <c r="A212" s="7">
        <v>42002</v>
      </c>
      <c r="B212" s="3">
        <v>5493</v>
      </c>
      <c r="C212" s="3">
        <v>3883</v>
      </c>
      <c r="D212" s="3">
        <f t="shared" si="9"/>
        <v>1610</v>
      </c>
      <c r="E212" s="5">
        <f t="shared" si="10"/>
        <v>0.70689969051520118</v>
      </c>
      <c r="F212" s="5">
        <f t="shared" si="11"/>
        <v>0.13547111908662979</v>
      </c>
    </row>
    <row r="213" spans="1:6" x14ac:dyDescent="0.3">
      <c r="A213" s="7">
        <v>42009</v>
      </c>
      <c r="B213" s="3">
        <v>7170</v>
      </c>
      <c r="C213" s="3">
        <v>3055</v>
      </c>
      <c r="D213" s="3">
        <f t="shared" si="9"/>
        <v>4115</v>
      </c>
      <c r="E213" s="5">
        <f t="shared" si="10"/>
        <v>0.42608089260808923</v>
      </c>
      <c r="F213" s="5">
        <f t="shared" si="11"/>
        <v>-0.14534767882048216</v>
      </c>
    </row>
    <row r="214" spans="1:6" x14ac:dyDescent="0.3">
      <c r="A214" s="7">
        <v>42016</v>
      </c>
      <c r="B214" s="3">
        <v>7158</v>
      </c>
      <c r="C214" s="3">
        <v>4331</v>
      </c>
      <c r="D214" s="3">
        <f t="shared" si="9"/>
        <v>2827</v>
      </c>
      <c r="E214" s="5">
        <f t="shared" si="10"/>
        <v>0.60505727856943281</v>
      </c>
      <c r="F214" s="5">
        <f t="shared" si="11"/>
        <v>3.3628707140861414E-2</v>
      </c>
    </row>
    <row r="215" spans="1:6" x14ac:dyDescent="0.3">
      <c r="A215" s="7">
        <v>42023</v>
      </c>
      <c r="B215" s="3">
        <v>7135</v>
      </c>
      <c r="C215" s="3">
        <v>4450</v>
      </c>
      <c r="D215" s="3">
        <f t="shared" si="9"/>
        <v>2685</v>
      </c>
      <c r="E215" s="5">
        <f t="shared" si="10"/>
        <v>0.62368605466012617</v>
      </c>
      <c r="F215" s="5">
        <f t="shared" si="11"/>
        <v>5.2257483231554769E-2</v>
      </c>
    </row>
    <row r="216" spans="1:6" x14ac:dyDescent="0.3">
      <c r="A216" s="7">
        <v>42030</v>
      </c>
      <c r="B216" s="3">
        <v>7165</v>
      </c>
      <c r="C216" s="3">
        <v>3734</v>
      </c>
      <c r="D216" s="3">
        <f t="shared" si="9"/>
        <v>3431</v>
      </c>
      <c r="E216" s="5">
        <f t="shared" si="10"/>
        <v>0.52114445219818561</v>
      </c>
      <c r="F216" s="5">
        <f t="shared" si="11"/>
        <v>-5.0284119230385782E-2</v>
      </c>
    </row>
    <row r="217" spans="1:6" x14ac:dyDescent="0.3">
      <c r="A217" s="7">
        <v>42037</v>
      </c>
      <c r="B217" s="3">
        <v>7166</v>
      </c>
      <c r="C217" s="3">
        <v>4245</v>
      </c>
      <c r="D217" s="3">
        <f t="shared" si="9"/>
        <v>2921</v>
      </c>
      <c r="E217" s="5">
        <f t="shared" si="10"/>
        <v>0.59238068657549536</v>
      </c>
      <c r="F217" s="5">
        <f t="shared" si="11"/>
        <v>2.0952115146923966E-2</v>
      </c>
    </row>
    <row r="218" spans="1:6" x14ac:dyDescent="0.3">
      <c r="A218" s="7">
        <v>42044</v>
      </c>
      <c r="B218" s="3">
        <v>7143</v>
      </c>
      <c r="C218" s="3">
        <v>3175</v>
      </c>
      <c r="D218" s="3">
        <f t="shared" si="9"/>
        <v>3968</v>
      </c>
      <c r="E218" s="5">
        <f t="shared" si="10"/>
        <v>0.44449111017779647</v>
      </c>
      <c r="F218" s="5">
        <f t="shared" si="11"/>
        <v>-0.12693746125077493</v>
      </c>
    </row>
    <row r="219" spans="1:6" x14ac:dyDescent="0.3">
      <c r="A219" s="7">
        <v>42051</v>
      </c>
      <c r="B219" s="3">
        <v>7148</v>
      </c>
      <c r="C219" s="3">
        <v>4792</v>
      </c>
      <c r="D219" s="3">
        <f t="shared" si="9"/>
        <v>2356</v>
      </c>
      <c r="E219" s="5">
        <f t="shared" si="10"/>
        <v>0.67039731393396751</v>
      </c>
      <c r="F219" s="5">
        <f t="shared" si="11"/>
        <v>9.8968742505396112E-2</v>
      </c>
    </row>
    <row r="220" spans="1:6" x14ac:dyDescent="0.3">
      <c r="A220" s="7">
        <v>42058</v>
      </c>
      <c r="B220" s="3">
        <v>7151</v>
      </c>
      <c r="C220" s="3">
        <v>2783</v>
      </c>
      <c r="D220" s="3">
        <f t="shared" si="9"/>
        <v>4368</v>
      </c>
      <c r="E220" s="5">
        <f t="shared" si="10"/>
        <v>0.38917633897357012</v>
      </c>
      <c r="F220" s="5">
        <f t="shared" si="11"/>
        <v>-0.18225223245500127</v>
      </c>
    </row>
    <row r="221" spans="1:6" x14ac:dyDescent="0.3">
      <c r="A221" s="7">
        <v>42065</v>
      </c>
      <c r="B221" s="3">
        <v>7158</v>
      </c>
      <c r="C221" s="3">
        <v>4261</v>
      </c>
      <c r="D221" s="3">
        <f t="shared" si="9"/>
        <v>2897</v>
      </c>
      <c r="E221" s="5">
        <f t="shared" si="10"/>
        <v>0.59527801061749097</v>
      </c>
      <c r="F221" s="5">
        <f t="shared" si="11"/>
        <v>2.3849439188919574E-2</v>
      </c>
    </row>
    <row r="222" spans="1:6" x14ac:dyDescent="0.3">
      <c r="A222" s="7">
        <v>42072</v>
      </c>
      <c r="B222" s="3">
        <v>7108</v>
      </c>
      <c r="C222" s="3">
        <v>4857</v>
      </c>
      <c r="D222" s="3">
        <f t="shared" si="9"/>
        <v>2251</v>
      </c>
      <c r="E222" s="5">
        <f t="shared" si="10"/>
        <v>0.68331457512661786</v>
      </c>
      <c r="F222" s="5">
        <f t="shared" si="11"/>
        <v>0.11188600369804647</v>
      </c>
    </row>
    <row r="223" spans="1:6" x14ac:dyDescent="0.3">
      <c r="A223" s="7">
        <v>42079</v>
      </c>
      <c r="B223" s="3">
        <v>7109</v>
      </c>
      <c r="C223" s="3">
        <v>4350</v>
      </c>
      <c r="D223" s="3">
        <f t="shared" si="9"/>
        <v>2759</v>
      </c>
      <c r="E223" s="5">
        <f t="shared" si="10"/>
        <v>0.61190040793360534</v>
      </c>
      <c r="F223" s="5">
        <f t="shared" si="11"/>
        <v>4.0471836505033942E-2</v>
      </c>
    </row>
    <row r="224" spans="1:6" x14ac:dyDescent="0.3">
      <c r="A224" s="7">
        <v>42086</v>
      </c>
      <c r="B224" s="3">
        <v>7104</v>
      </c>
      <c r="C224" s="3">
        <v>4521</v>
      </c>
      <c r="D224" s="3">
        <f t="shared" si="9"/>
        <v>2583</v>
      </c>
      <c r="E224" s="5">
        <f t="shared" si="10"/>
        <v>0.63640202702702697</v>
      </c>
      <c r="F224" s="5">
        <f t="shared" si="11"/>
        <v>6.4973455598455576E-2</v>
      </c>
    </row>
    <row r="225" spans="1:6" x14ac:dyDescent="0.3">
      <c r="A225" s="7">
        <v>42093</v>
      </c>
      <c r="B225" s="3">
        <v>7136</v>
      </c>
      <c r="C225" s="3">
        <v>4826</v>
      </c>
      <c r="D225" s="3">
        <f t="shared" si="9"/>
        <v>2310</v>
      </c>
      <c r="E225" s="5">
        <f t="shared" si="10"/>
        <v>0.6762892376681614</v>
      </c>
      <c r="F225" s="5">
        <f t="shared" si="11"/>
        <v>0.10486066623959001</v>
      </c>
    </row>
    <row r="226" spans="1:6" x14ac:dyDescent="0.3">
      <c r="A226" s="7">
        <v>42100</v>
      </c>
      <c r="B226" s="3">
        <v>7149</v>
      </c>
      <c r="C226" s="3">
        <v>4494</v>
      </c>
      <c r="D226" s="3">
        <f t="shared" si="9"/>
        <v>2655</v>
      </c>
      <c r="E226" s="5">
        <f t="shared" si="10"/>
        <v>0.62861938732689882</v>
      </c>
      <c r="F226" s="5">
        <f t="shared" si="11"/>
        <v>5.7190815898327418E-2</v>
      </c>
    </row>
    <row r="227" spans="1:6" x14ac:dyDescent="0.3">
      <c r="A227" s="7">
        <v>42107</v>
      </c>
      <c r="B227" s="3">
        <v>7147</v>
      </c>
      <c r="C227" s="3">
        <v>3868</v>
      </c>
      <c r="D227" s="3">
        <f t="shared" si="9"/>
        <v>3279</v>
      </c>
      <c r="E227" s="5">
        <f t="shared" si="10"/>
        <v>0.54120610046173223</v>
      </c>
      <c r="F227" s="5">
        <f t="shared" si="11"/>
        <v>-3.0222470966839166E-2</v>
      </c>
    </row>
    <row r="228" spans="1:6" x14ac:dyDescent="0.3">
      <c r="A228" s="7">
        <v>42114</v>
      </c>
      <c r="B228" s="3">
        <v>7174</v>
      </c>
      <c r="C228" s="3">
        <v>4358</v>
      </c>
      <c r="D228" s="3">
        <f t="shared" si="9"/>
        <v>2816</v>
      </c>
      <c r="E228" s="5">
        <f t="shared" si="10"/>
        <v>0.60747142458879289</v>
      </c>
      <c r="F228" s="5">
        <f t="shared" si="11"/>
        <v>3.6042853160221489E-2</v>
      </c>
    </row>
    <row r="229" spans="1:6" x14ac:dyDescent="0.3">
      <c r="A229" s="7">
        <v>42121</v>
      </c>
      <c r="B229" s="3">
        <v>7160</v>
      </c>
      <c r="C229" s="3">
        <v>3917</v>
      </c>
      <c r="D229" s="3">
        <f t="shared" si="9"/>
        <v>3243</v>
      </c>
      <c r="E229" s="5">
        <f t="shared" si="10"/>
        <v>0.54706703910614529</v>
      </c>
      <c r="F229" s="5">
        <f t="shared" si="11"/>
        <v>-2.4361532322426105E-2</v>
      </c>
    </row>
    <row r="230" spans="1:6" x14ac:dyDescent="0.3">
      <c r="A230" s="7">
        <v>42128</v>
      </c>
      <c r="B230" s="3">
        <v>7157</v>
      </c>
      <c r="C230" s="3">
        <v>4339</v>
      </c>
      <c r="D230" s="3">
        <f t="shared" si="9"/>
        <v>2818</v>
      </c>
      <c r="E230" s="5">
        <f t="shared" si="10"/>
        <v>0.60625960598015927</v>
      </c>
      <c r="F230" s="5">
        <f t="shared" si="11"/>
        <v>3.4831034551587869E-2</v>
      </c>
    </row>
    <row r="231" spans="1:6" x14ac:dyDescent="0.3">
      <c r="A231" s="7">
        <v>42135</v>
      </c>
      <c r="B231" s="3">
        <v>7167</v>
      </c>
      <c r="C231" s="3">
        <v>4327</v>
      </c>
      <c r="D231" s="3">
        <f t="shared" si="9"/>
        <v>2840</v>
      </c>
      <c r="E231" s="5">
        <f t="shared" si="10"/>
        <v>0.6037393609599554</v>
      </c>
      <c r="F231" s="5">
        <f t="shared" si="11"/>
        <v>3.2310789531383999E-2</v>
      </c>
    </row>
    <row r="232" spans="1:6" x14ac:dyDescent="0.3">
      <c r="A232" s="7">
        <v>42142</v>
      </c>
      <c r="B232" s="3">
        <v>7168</v>
      </c>
      <c r="C232" s="3">
        <v>4592</v>
      </c>
      <c r="D232" s="3">
        <f t="shared" si="9"/>
        <v>2576</v>
      </c>
      <c r="E232" s="5">
        <f t="shared" si="10"/>
        <v>0.640625</v>
      </c>
      <c r="F232" s="5">
        <f t="shared" si="11"/>
        <v>6.9196428571428603E-2</v>
      </c>
    </row>
    <row r="233" spans="1:6" x14ac:dyDescent="0.3">
      <c r="A233" s="7">
        <v>42149</v>
      </c>
      <c r="B233" s="3">
        <v>7173</v>
      </c>
      <c r="C233" s="3">
        <v>4069</v>
      </c>
      <c r="D233" s="3">
        <f t="shared" si="9"/>
        <v>3104</v>
      </c>
      <c r="E233" s="5">
        <f t="shared" si="10"/>
        <v>0.56726613690227246</v>
      </c>
      <c r="F233" s="5">
        <f t="shared" si="11"/>
        <v>-4.1624345262989415E-3</v>
      </c>
    </row>
    <row r="234" spans="1:6" x14ac:dyDescent="0.3">
      <c r="A234" s="7">
        <v>42156</v>
      </c>
      <c r="B234" s="3">
        <v>7165</v>
      </c>
      <c r="C234" s="3">
        <v>3912</v>
      </c>
      <c r="D234" s="3">
        <f t="shared" si="9"/>
        <v>3253</v>
      </c>
      <c r="E234" s="5">
        <f t="shared" si="10"/>
        <v>0.54598743893928825</v>
      </c>
      <c r="F234" s="5">
        <f t="shared" si="11"/>
        <v>-2.5441132489283147E-2</v>
      </c>
    </row>
    <row r="235" spans="1:6" x14ac:dyDescent="0.3">
      <c r="A235" s="7">
        <v>42163</v>
      </c>
      <c r="B235" s="3">
        <v>7164</v>
      </c>
      <c r="C235" s="3">
        <v>4686</v>
      </c>
      <c r="D235" s="3">
        <f t="shared" si="9"/>
        <v>2478</v>
      </c>
      <c r="E235" s="5">
        <f t="shared" si="10"/>
        <v>0.65410385259631487</v>
      </c>
      <c r="F235" s="5">
        <f t="shared" si="11"/>
        <v>8.2675281167743475E-2</v>
      </c>
    </row>
    <row r="236" spans="1:6" x14ac:dyDescent="0.3">
      <c r="A236" s="7">
        <v>42170</v>
      </c>
      <c r="B236" s="3">
        <v>7166</v>
      </c>
      <c r="C236" s="3">
        <v>3484</v>
      </c>
      <c r="D236" s="3">
        <f t="shared" si="9"/>
        <v>3682</v>
      </c>
      <c r="E236" s="5">
        <f t="shared" si="10"/>
        <v>0.48618476137315098</v>
      </c>
      <c r="F236" s="5">
        <f t="shared" si="11"/>
        <v>-8.5243810055420421E-2</v>
      </c>
    </row>
    <row r="237" spans="1:6" x14ac:dyDescent="0.3">
      <c r="A237" s="7">
        <v>42177</v>
      </c>
      <c r="B237" s="3">
        <v>7152</v>
      </c>
      <c r="C237" s="3">
        <v>4125</v>
      </c>
      <c r="D237" s="3">
        <f t="shared" si="9"/>
        <v>3027</v>
      </c>
      <c r="E237" s="5">
        <f t="shared" si="10"/>
        <v>0.57676174496644295</v>
      </c>
      <c r="F237" s="5">
        <f t="shared" si="11"/>
        <v>5.3331735378715495E-3</v>
      </c>
    </row>
    <row r="238" spans="1:6" x14ac:dyDescent="0.3">
      <c r="A238" s="7">
        <v>42184</v>
      </c>
      <c r="B238" s="3">
        <v>7170</v>
      </c>
      <c r="C238" s="3">
        <v>3584</v>
      </c>
      <c r="D238" s="3">
        <f t="shared" si="9"/>
        <v>3586</v>
      </c>
      <c r="E238" s="5">
        <f t="shared" si="10"/>
        <v>0.49986052998605301</v>
      </c>
      <c r="F238" s="5">
        <f t="shared" si="11"/>
        <v>-7.1568041442518382E-2</v>
      </c>
    </row>
    <row r="239" spans="1:6" x14ac:dyDescent="0.3">
      <c r="A239" s="7">
        <v>42191</v>
      </c>
      <c r="B239" s="3">
        <v>7171</v>
      </c>
      <c r="C239" s="3">
        <v>4642</v>
      </c>
      <c r="D239" s="3">
        <f t="shared" si="9"/>
        <v>2529</v>
      </c>
      <c r="E239" s="5">
        <f t="shared" si="10"/>
        <v>0.64732952168456281</v>
      </c>
      <c r="F239" s="5">
        <f t="shared" si="11"/>
        <v>7.5900950255991417E-2</v>
      </c>
    </row>
    <row r="240" spans="1:6" x14ac:dyDescent="0.3">
      <c r="A240" s="7">
        <v>42198</v>
      </c>
      <c r="B240" s="3">
        <v>7170</v>
      </c>
      <c r="C240" s="3">
        <v>3692</v>
      </c>
      <c r="D240" s="3">
        <f t="shared" si="9"/>
        <v>3478</v>
      </c>
      <c r="E240" s="5">
        <f t="shared" si="10"/>
        <v>0.51492329149232918</v>
      </c>
      <c r="F240" s="5">
        <f t="shared" si="11"/>
        <v>-5.6505279936242214E-2</v>
      </c>
    </row>
    <row r="241" spans="1:6" x14ac:dyDescent="0.3">
      <c r="A241" s="7">
        <v>42205</v>
      </c>
      <c r="B241" s="3">
        <v>7166</v>
      </c>
      <c r="C241" s="3">
        <v>4099</v>
      </c>
      <c r="D241" s="3">
        <f t="shared" si="9"/>
        <v>3067</v>
      </c>
      <c r="E241" s="5">
        <f t="shared" si="10"/>
        <v>0.57200669829751605</v>
      </c>
      <c r="F241" s="5">
        <f t="shared" si="11"/>
        <v>5.781268689446506E-4</v>
      </c>
    </row>
    <row r="242" spans="1:6" x14ac:dyDescent="0.3">
      <c r="A242" s="7">
        <v>42212</v>
      </c>
      <c r="B242" s="3">
        <v>7160</v>
      </c>
      <c r="C242" s="3">
        <v>4800</v>
      </c>
      <c r="D242" s="3">
        <f t="shared" si="9"/>
        <v>2360</v>
      </c>
      <c r="E242" s="5">
        <f t="shared" si="10"/>
        <v>0.67039106145251393</v>
      </c>
      <c r="F242" s="5">
        <f t="shared" si="11"/>
        <v>9.8962490023942529E-2</v>
      </c>
    </row>
    <row r="243" spans="1:6" x14ac:dyDescent="0.3">
      <c r="A243" s="7">
        <v>42219</v>
      </c>
      <c r="B243" s="3">
        <v>7168</v>
      </c>
      <c r="C243" s="3">
        <v>3207</v>
      </c>
      <c r="D243" s="3">
        <f t="shared" si="9"/>
        <v>3961</v>
      </c>
      <c r="E243" s="5">
        <f t="shared" si="10"/>
        <v>0.44740513392857145</v>
      </c>
      <c r="F243" s="5">
        <f t="shared" si="11"/>
        <v>-0.12402343749999994</v>
      </c>
    </row>
    <row r="244" spans="1:6" x14ac:dyDescent="0.3">
      <c r="A244" s="7">
        <v>42226</v>
      </c>
      <c r="B244" s="3">
        <v>7170</v>
      </c>
      <c r="C244" s="3">
        <v>4055</v>
      </c>
      <c r="D244" s="3">
        <f t="shared" si="9"/>
        <v>3115</v>
      </c>
      <c r="E244" s="5">
        <f t="shared" si="10"/>
        <v>0.56555090655509066</v>
      </c>
      <c r="F244" s="5">
        <f t="shared" si="11"/>
        <v>-5.8776648734807369E-3</v>
      </c>
    </row>
    <row r="245" spans="1:6" x14ac:dyDescent="0.3">
      <c r="A245" s="7">
        <v>42233</v>
      </c>
      <c r="B245" s="3">
        <v>7173</v>
      </c>
      <c r="C245" s="3">
        <v>4369</v>
      </c>
      <c r="D245" s="3">
        <f t="shared" si="9"/>
        <v>2804</v>
      </c>
      <c r="E245" s="5">
        <f t="shared" si="10"/>
        <v>0.60908964171197544</v>
      </c>
      <c r="F245" s="5">
        <f t="shared" si="11"/>
        <v>3.7661070283404041E-2</v>
      </c>
    </row>
    <row r="246" spans="1:6" x14ac:dyDescent="0.3">
      <c r="A246" s="7">
        <v>42240</v>
      </c>
      <c r="B246" s="3">
        <v>7178</v>
      </c>
      <c r="C246" s="3">
        <v>4794</v>
      </c>
      <c r="D246" s="3">
        <f t="shared" si="9"/>
        <v>2384</v>
      </c>
      <c r="E246" s="5">
        <f t="shared" si="10"/>
        <v>0.66787405962663693</v>
      </c>
      <c r="F246" s="5">
        <f t="shared" si="11"/>
        <v>9.6445488198065532E-2</v>
      </c>
    </row>
    <row r="247" spans="1:6" x14ac:dyDescent="0.3">
      <c r="A247" s="7">
        <v>42247</v>
      </c>
      <c r="B247" s="3">
        <v>7133</v>
      </c>
      <c r="C247" s="3">
        <v>4666</v>
      </c>
      <c r="D247" s="3">
        <f t="shared" si="9"/>
        <v>2467</v>
      </c>
      <c r="E247" s="5">
        <f t="shared" si="10"/>
        <v>0.65414271694939019</v>
      </c>
      <c r="F247" s="5">
        <f t="shared" si="11"/>
        <v>8.2714145520818794E-2</v>
      </c>
    </row>
    <row r="248" spans="1:6" x14ac:dyDescent="0.3">
      <c r="A248" s="7">
        <v>42254</v>
      </c>
      <c r="B248" s="3">
        <v>7174</v>
      </c>
      <c r="C248" s="3">
        <v>3499</v>
      </c>
      <c r="D248" s="3">
        <f t="shared" si="9"/>
        <v>3675</v>
      </c>
      <c r="E248" s="5">
        <f t="shared" si="10"/>
        <v>0.48773348201839978</v>
      </c>
      <c r="F248" s="5">
        <f t="shared" si="11"/>
        <v>-8.3695089410171619E-2</v>
      </c>
    </row>
    <row r="249" spans="1:6" x14ac:dyDescent="0.3">
      <c r="A249" s="7">
        <v>42261</v>
      </c>
      <c r="B249" s="3">
        <v>7171</v>
      </c>
      <c r="C249" s="3">
        <v>4097</v>
      </c>
      <c r="D249" s="3">
        <f t="shared" si="9"/>
        <v>3074</v>
      </c>
      <c r="E249" s="5">
        <f t="shared" si="10"/>
        <v>0.5713289638823037</v>
      </c>
      <c r="F249" s="5">
        <f t="shared" si="11"/>
        <v>-9.9607546267699298E-5</v>
      </c>
    </row>
    <row r="250" spans="1:6" x14ac:dyDescent="0.3">
      <c r="A250" s="7">
        <v>42268</v>
      </c>
      <c r="B250" s="3">
        <v>7163</v>
      </c>
      <c r="C250" s="3">
        <v>4327</v>
      </c>
      <c r="D250" s="3">
        <f t="shared" si="9"/>
        <v>2836</v>
      </c>
      <c r="E250" s="5">
        <f t="shared" si="10"/>
        <v>0.60407650425799242</v>
      </c>
      <c r="F250" s="5">
        <f t="shared" si="11"/>
        <v>3.2647932829421022E-2</v>
      </c>
    </row>
    <row r="251" spans="1:6" x14ac:dyDescent="0.3">
      <c r="A251" s="7">
        <v>42275</v>
      </c>
      <c r="B251" s="3">
        <v>7173</v>
      </c>
      <c r="C251" s="3">
        <v>3177</v>
      </c>
      <c r="D251" s="3">
        <f t="shared" si="9"/>
        <v>3996</v>
      </c>
      <c r="E251" s="5">
        <f t="shared" si="10"/>
        <v>0.44291091593475534</v>
      </c>
      <c r="F251" s="5">
        <f t="shared" si="11"/>
        <v>-0.12851765549381605</v>
      </c>
    </row>
    <row r="252" spans="1:6" x14ac:dyDescent="0.3">
      <c r="A252" s="7">
        <v>42282</v>
      </c>
      <c r="B252" s="3">
        <v>7165</v>
      </c>
      <c r="C252" s="3">
        <v>5392</v>
      </c>
      <c r="D252" s="3">
        <f t="shared" si="9"/>
        <v>1773</v>
      </c>
      <c r="E252" s="5">
        <f t="shared" si="10"/>
        <v>0.75254710397766922</v>
      </c>
      <c r="F252" s="5">
        <f t="shared" si="11"/>
        <v>0.18111853254909782</v>
      </c>
    </row>
    <row r="253" spans="1:6" x14ac:dyDescent="0.3">
      <c r="A253" s="7">
        <v>42289</v>
      </c>
      <c r="B253" s="3">
        <v>7168</v>
      </c>
      <c r="C253" s="3">
        <v>4120</v>
      </c>
      <c r="D253" s="3">
        <f t="shared" si="9"/>
        <v>3048</v>
      </c>
      <c r="E253" s="5">
        <f t="shared" si="10"/>
        <v>0.5747767857142857</v>
      </c>
      <c r="F253" s="5">
        <f t="shared" si="11"/>
        <v>3.3482142857143016E-3</v>
      </c>
    </row>
    <row r="254" spans="1:6" x14ac:dyDescent="0.3">
      <c r="A254" s="7">
        <v>42296</v>
      </c>
      <c r="B254" s="3">
        <v>7163</v>
      </c>
      <c r="C254" s="3">
        <v>4752</v>
      </c>
      <c r="D254" s="3">
        <f t="shared" si="9"/>
        <v>2411</v>
      </c>
      <c r="E254" s="5">
        <f t="shared" si="10"/>
        <v>0.66340918609521149</v>
      </c>
      <c r="F254" s="5">
        <f t="shared" si="11"/>
        <v>9.1980614666640093E-2</v>
      </c>
    </row>
    <row r="255" spans="1:6" x14ac:dyDescent="0.3">
      <c r="A255" s="7">
        <v>42303</v>
      </c>
      <c r="B255" s="3">
        <v>7113</v>
      </c>
      <c r="C255" s="3">
        <v>3845</v>
      </c>
      <c r="D255" s="3">
        <f t="shared" si="9"/>
        <v>3268</v>
      </c>
      <c r="E255" s="5">
        <f t="shared" si="10"/>
        <v>0.54055953887248698</v>
      </c>
      <c r="F255" s="5">
        <f t="shared" si="11"/>
        <v>-3.0869032556084419E-2</v>
      </c>
    </row>
    <row r="256" spans="1:6" x14ac:dyDescent="0.3">
      <c r="A256" s="7">
        <v>42310</v>
      </c>
      <c r="B256" s="3">
        <v>7165</v>
      </c>
      <c r="C256" s="3">
        <v>4435</v>
      </c>
      <c r="D256" s="3">
        <f t="shared" si="9"/>
        <v>2730</v>
      </c>
      <c r="E256" s="5">
        <f t="shared" si="10"/>
        <v>0.61898115840893231</v>
      </c>
      <c r="F256" s="5">
        <f t="shared" si="11"/>
        <v>4.7552586980360911E-2</v>
      </c>
    </row>
    <row r="257" spans="1:6" x14ac:dyDescent="0.3">
      <c r="A257" s="7">
        <v>42317</v>
      </c>
      <c r="B257" s="3">
        <v>7172</v>
      </c>
      <c r="C257" s="3">
        <v>4397</v>
      </c>
      <c r="D257" s="3">
        <f t="shared" si="9"/>
        <v>2775</v>
      </c>
      <c r="E257" s="5">
        <f t="shared" si="10"/>
        <v>0.6130786391522588</v>
      </c>
      <c r="F257" s="5">
        <f t="shared" si="11"/>
        <v>4.1650067723687401E-2</v>
      </c>
    </row>
    <row r="258" spans="1:6" x14ac:dyDescent="0.3">
      <c r="A258" s="7">
        <v>42324</v>
      </c>
      <c r="B258" s="3">
        <v>7168</v>
      </c>
      <c r="C258" s="3">
        <v>3990</v>
      </c>
      <c r="D258" s="3">
        <f t="shared" si="9"/>
        <v>3178</v>
      </c>
      <c r="E258" s="5">
        <f t="shared" si="10"/>
        <v>0.556640625</v>
      </c>
      <c r="F258" s="5">
        <f t="shared" si="11"/>
        <v>-1.4787946428571397E-2</v>
      </c>
    </row>
    <row r="259" spans="1:6" x14ac:dyDescent="0.3">
      <c r="A259" s="7">
        <v>42331</v>
      </c>
      <c r="B259" s="3">
        <v>7168</v>
      </c>
      <c r="C259" s="3">
        <v>2404</v>
      </c>
      <c r="D259" s="3">
        <f t="shared" si="9"/>
        <v>4764</v>
      </c>
      <c r="E259" s="5">
        <f t="shared" si="10"/>
        <v>0.3353794642857143</v>
      </c>
      <c r="F259" s="5">
        <f t="shared" si="11"/>
        <v>-0.2360491071428571</v>
      </c>
    </row>
    <row r="260" spans="1:6" x14ac:dyDescent="0.3">
      <c r="A260" s="7">
        <v>42338</v>
      </c>
      <c r="B260" s="3">
        <v>7142</v>
      </c>
      <c r="C260" s="3">
        <v>4354</v>
      </c>
      <c r="D260" s="3">
        <f t="shared" si="9"/>
        <v>2788</v>
      </c>
      <c r="E260" s="5">
        <f t="shared" si="10"/>
        <v>0.60963315597871748</v>
      </c>
      <c r="F260" s="5">
        <f t="shared" si="11"/>
        <v>3.8204584550146081E-2</v>
      </c>
    </row>
    <row r="261" spans="1:6" x14ac:dyDescent="0.3">
      <c r="A261" s="7">
        <v>42345</v>
      </c>
      <c r="B261" s="3">
        <v>7173</v>
      </c>
      <c r="C261" s="3">
        <v>5550</v>
      </c>
      <c r="D261" s="3">
        <f t="shared" si="9"/>
        <v>1623</v>
      </c>
      <c r="E261" s="5">
        <f t="shared" si="10"/>
        <v>0.77373483897950646</v>
      </c>
      <c r="F261" s="5">
        <f t="shared" si="11"/>
        <v>0.20230626755093506</v>
      </c>
    </row>
    <row r="262" spans="1:6" x14ac:dyDescent="0.3">
      <c r="A262" s="7">
        <v>42352</v>
      </c>
      <c r="B262" s="3">
        <v>7175</v>
      </c>
      <c r="C262" s="3">
        <v>3539</v>
      </c>
      <c r="D262" s="3">
        <f t="shared" si="9"/>
        <v>3636</v>
      </c>
      <c r="E262" s="5">
        <f t="shared" si="10"/>
        <v>0.49324041811846692</v>
      </c>
      <c r="F262" s="5">
        <f t="shared" si="11"/>
        <v>-7.818815331010448E-2</v>
      </c>
    </row>
    <row r="263" spans="1:6" x14ac:dyDescent="0.3">
      <c r="A263" s="7">
        <v>42359</v>
      </c>
      <c r="B263" s="3">
        <v>5553</v>
      </c>
      <c r="C263" s="3">
        <v>4020</v>
      </c>
      <c r="D263" s="3">
        <f t="shared" si="9"/>
        <v>1533</v>
      </c>
      <c r="E263" s="5">
        <f t="shared" si="10"/>
        <v>0.72393300918422476</v>
      </c>
      <c r="F263" s="5">
        <f t="shared" si="11"/>
        <v>0.15250443775565337</v>
      </c>
    </row>
    <row r="264" spans="1:6" x14ac:dyDescent="0.3">
      <c r="A264" s="7">
        <v>42366</v>
      </c>
      <c r="B264" s="3">
        <v>5548</v>
      </c>
      <c r="C264" s="3">
        <v>4108</v>
      </c>
      <c r="D264" s="3">
        <f t="shared" si="9"/>
        <v>1440</v>
      </c>
      <c r="E264" s="5">
        <f t="shared" si="10"/>
        <v>0.74044700793078588</v>
      </c>
      <c r="F264" s="5">
        <f t="shared" si="11"/>
        <v>0.16901843650221449</v>
      </c>
    </row>
    <row r="265" spans="1:6" x14ac:dyDescent="0.3">
      <c r="A265" s="7">
        <v>42373</v>
      </c>
      <c r="B265" s="3">
        <v>7174</v>
      </c>
      <c r="C265" s="3">
        <v>4458</v>
      </c>
      <c r="D265" s="3">
        <f t="shared" ref="D265:D328" si="12">B265-C265</f>
        <v>2716</v>
      </c>
      <c r="E265" s="5">
        <f t="shared" ref="E265:E328" si="13">C265/B265</f>
        <v>0.62141064956788405</v>
      </c>
      <c r="F265" s="5">
        <f t="shared" ref="F265:F328" si="14">E265-$B$6</f>
        <v>4.9982078139312658E-2</v>
      </c>
    </row>
    <row r="266" spans="1:6" x14ac:dyDescent="0.3">
      <c r="A266" s="7">
        <v>42380</v>
      </c>
      <c r="B266" s="3">
        <v>7172</v>
      </c>
      <c r="C266" s="3">
        <v>3828</v>
      </c>
      <c r="D266" s="3">
        <f t="shared" si="12"/>
        <v>3344</v>
      </c>
      <c r="E266" s="5">
        <f t="shared" si="13"/>
        <v>0.53374233128834359</v>
      </c>
      <c r="F266" s="5">
        <f t="shared" si="14"/>
        <v>-3.7686240140227811E-2</v>
      </c>
    </row>
    <row r="267" spans="1:6" x14ac:dyDescent="0.3">
      <c r="A267" s="7">
        <v>42387</v>
      </c>
      <c r="B267" s="3">
        <v>7110</v>
      </c>
      <c r="C267" s="3">
        <v>2966</v>
      </c>
      <c r="D267" s="3">
        <f t="shared" si="12"/>
        <v>4144</v>
      </c>
      <c r="E267" s="5">
        <f t="shared" si="13"/>
        <v>0.41715893108298174</v>
      </c>
      <c r="F267" s="5">
        <f t="shared" si="14"/>
        <v>-0.15426964034558965</v>
      </c>
    </row>
    <row r="268" spans="1:6" x14ac:dyDescent="0.3">
      <c r="A268" s="7">
        <v>42394</v>
      </c>
      <c r="B268" s="3">
        <v>7163</v>
      </c>
      <c r="C268" s="3">
        <v>4961</v>
      </c>
      <c r="D268" s="3">
        <f t="shared" si="12"/>
        <v>2202</v>
      </c>
      <c r="E268" s="5">
        <f t="shared" si="13"/>
        <v>0.69258690492810271</v>
      </c>
      <c r="F268" s="5">
        <f t="shared" si="14"/>
        <v>0.12115833349953131</v>
      </c>
    </row>
    <row r="269" spans="1:6" x14ac:dyDescent="0.3">
      <c r="A269" s="7">
        <v>42401</v>
      </c>
      <c r="B269" s="3">
        <v>7166</v>
      </c>
      <c r="C269" s="3">
        <v>4841</v>
      </c>
      <c r="D269" s="3">
        <f t="shared" si="12"/>
        <v>2325</v>
      </c>
      <c r="E269" s="5">
        <f t="shared" si="13"/>
        <v>0.67555121406642482</v>
      </c>
      <c r="F269" s="5">
        <f t="shared" si="14"/>
        <v>0.10412264263785342</v>
      </c>
    </row>
    <row r="270" spans="1:6" x14ac:dyDescent="0.3">
      <c r="A270" s="7">
        <v>42408</v>
      </c>
      <c r="B270" s="3">
        <v>7157</v>
      </c>
      <c r="C270" s="3">
        <v>4302</v>
      </c>
      <c r="D270" s="3">
        <f t="shared" si="12"/>
        <v>2855</v>
      </c>
      <c r="E270" s="5">
        <f t="shared" si="13"/>
        <v>0.60108984211261707</v>
      </c>
      <c r="F270" s="5">
        <f t="shared" si="14"/>
        <v>2.9661270684045671E-2</v>
      </c>
    </row>
    <row r="271" spans="1:6" x14ac:dyDescent="0.3">
      <c r="A271" s="7">
        <v>42415</v>
      </c>
      <c r="B271" s="3">
        <v>7169</v>
      </c>
      <c r="C271" s="3">
        <v>3768</v>
      </c>
      <c r="D271" s="3">
        <f t="shared" si="12"/>
        <v>3401</v>
      </c>
      <c r="E271" s="5">
        <f t="shared" si="13"/>
        <v>0.52559631747803037</v>
      </c>
      <c r="F271" s="5">
        <f t="shared" si="14"/>
        <v>-4.5832253950541024E-2</v>
      </c>
    </row>
    <row r="272" spans="1:6" x14ac:dyDescent="0.3">
      <c r="A272" s="7">
        <v>42422</v>
      </c>
      <c r="B272" s="3">
        <v>7172</v>
      </c>
      <c r="C272" s="3">
        <v>3401</v>
      </c>
      <c r="D272" s="3">
        <f t="shared" si="12"/>
        <v>3771</v>
      </c>
      <c r="E272" s="5">
        <f t="shared" si="13"/>
        <v>0.47420524261015057</v>
      </c>
      <c r="F272" s="5">
        <f t="shared" si="14"/>
        <v>-9.7223328818420829E-2</v>
      </c>
    </row>
    <row r="273" spans="1:6" x14ac:dyDescent="0.3">
      <c r="A273" s="7">
        <v>42429</v>
      </c>
      <c r="B273" s="3">
        <v>7169</v>
      </c>
      <c r="C273" s="3">
        <v>3745</v>
      </c>
      <c r="D273" s="3">
        <f t="shared" si="12"/>
        <v>3424</v>
      </c>
      <c r="E273" s="5">
        <f t="shared" si="13"/>
        <v>0.52238805970149249</v>
      </c>
      <c r="F273" s="5">
        <f t="shared" si="14"/>
        <v>-4.9040511727078906E-2</v>
      </c>
    </row>
    <row r="274" spans="1:6" x14ac:dyDescent="0.3">
      <c r="A274" s="7">
        <v>42436</v>
      </c>
      <c r="B274" s="3">
        <v>7148</v>
      </c>
      <c r="C274" s="3">
        <v>3971</v>
      </c>
      <c r="D274" s="3">
        <f t="shared" si="12"/>
        <v>3177</v>
      </c>
      <c r="E274" s="5">
        <f t="shared" si="13"/>
        <v>0.55554001119194185</v>
      </c>
      <c r="F274" s="5">
        <f t="shared" si="14"/>
        <v>-1.5888560236629545E-2</v>
      </c>
    </row>
    <row r="275" spans="1:6" x14ac:dyDescent="0.3">
      <c r="A275" s="7">
        <v>42443</v>
      </c>
      <c r="B275" s="3">
        <v>7084</v>
      </c>
      <c r="C275" s="3">
        <v>3824</v>
      </c>
      <c r="D275" s="3">
        <f t="shared" si="12"/>
        <v>3260</v>
      </c>
      <c r="E275" s="5">
        <f t="shared" si="13"/>
        <v>0.53980801806888767</v>
      </c>
      <c r="F275" s="5">
        <f t="shared" si="14"/>
        <v>-3.1620553359683723E-2</v>
      </c>
    </row>
    <row r="276" spans="1:6" x14ac:dyDescent="0.3">
      <c r="A276" s="7">
        <v>42450</v>
      </c>
      <c r="B276" s="3">
        <v>7021</v>
      </c>
      <c r="C276" s="3">
        <v>4429</v>
      </c>
      <c r="D276" s="3">
        <f t="shared" si="12"/>
        <v>2592</v>
      </c>
      <c r="E276" s="5">
        <f t="shared" si="13"/>
        <v>0.63082182025352518</v>
      </c>
      <c r="F276" s="5">
        <f t="shared" si="14"/>
        <v>5.9393248824953782E-2</v>
      </c>
    </row>
    <row r="277" spans="1:6" x14ac:dyDescent="0.3">
      <c r="A277" s="7">
        <v>42457</v>
      </c>
      <c r="B277" s="3">
        <v>7105</v>
      </c>
      <c r="C277" s="3">
        <v>4505</v>
      </c>
      <c r="D277" s="3">
        <f t="shared" si="12"/>
        <v>2600</v>
      </c>
      <c r="E277" s="5">
        <f t="shared" si="13"/>
        <v>0.63406052076002817</v>
      </c>
      <c r="F277" s="5">
        <f t="shared" si="14"/>
        <v>6.2631949331456771E-2</v>
      </c>
    </row>
    <row r="278" spans="1:6" x14ac:dyDescent="0.3">
      <c r="A278" s="7">
        <v>42464</v>
      </c>
      <c r="B278" s="3">
        <v>7136</v>
      </c>
      <c r="C278" s="3">
        <v>3563</v>
      </c>
      <c r="D278" s="3">
        <f t="shared" si="12"/>
        <v>3573</v>
      </c>
      <c r="E278" s="5">
        <f t="shared" si="13"/>
        <v>0.49929932735426008</v>
      </c>
      <c r="F278" s="5">
        <f t="shared" si="14"/>
        <v>-7.2129244074311316E-2</v>
      </c>
    </row>
    <row r="279" spans="1:6" x14ac:dyDescent="0.3">
      <c r="A279" s="7">
        <v>42471</v>
      </c>
      <c r="B279" s="3">
        <v>7125</v>
      </c>
      <c r="C279" s="3">
        <v>4594</v>
      </c>
      <c r="D279" s="3">
        <f t="shared" si="12"/>
        <v>2531</v>
      </c>
      <c r="E279" s="5">
        <f t="shared" si="13"/>
        <v>0.64477192982456144</v>
      </c>
      <c r="F279" s="5">
        <f t="shared" si="14"/>
        <v>7.3343358395990044E-2</v>
      </c>
    </row>
    <row r="280" spans="1:6" x14ac:dyDescent="0.3">
      <c r="A280" s="7">
        <v>42478</v>
      </c>
      <c r="B280" s="3">
        <v>7118</v>
      </c>
      <c r="C280" s="3">
        <v>5113</v>
      </c>
      <c r="D280" s="3">
        <f t="shared" si="12"/>
        <v>2005</v>
      </c>
      <c r="E280" s="5">
        <f t="shared" si="13"/>
        <v>0.71831975273953352</v>
      </c>
      <c r="F280" s="5">
        <f t="shared" si="14"/>
        <v>0.14689118131096213</v>
      </c>
    </row>
    <row r="281" spans="1:6" x14ac:dyDescent="0.3">
      <c r="A281" s="7">
        <v>42485</v>
      </c>
      <c r="B281" s="3">
        <v>7134</v>
      </c>
      <c r="C281" s="3">
        <v>4751</v>
      </c>
      <c r="D281" s="3">
        <f t="shared" si="12"/>
        <v>2383</v>
      </c>
      <c r="E281" s="5">
        <f t="shared" si="13"/>
        <v>0.66596579758901042</v>
      </c>
      <c r="F281" s="5">
        <f t="shared" si="14"/>
        <v>9.4537226160439025E-2</v>
      </c>
    </row>
    <row r="282" spans="1:6" x14ac:dyDescent="0.3">
      <c r="A282" s="7">
        <v>42492</v>
      </c>
      <c r="B282" s="3">
        <v>7136</v>
      </c>
      <c r="C282" s="3">
        <v>5264</v>
      </c>
      <c r="D282" s="3">
        <f t="shared" si="12"/>
        <v>1872</v>
      </c>
      <c r="E282" s="5">
        <f t="shared" si="13"/>
        <v>0.7376681614349776</v>
      </c>
      <c r="F282" s="5">
        <f t="shared" si="14"/>
        <v>0.1662395900064062</v>
      </c>
    </row>
    <row r="283" spans="1:6" x14ac:dyDescent="0.3">
      <c r="A283" s="7">
        <v>42499</v>
      </c>
      <c r="B283" s="3">
        <v>7151</v>
      </c>
      <c r="C283" s="3">
        <v>4312</v>
      </c>
      <c r="D283" s="3">
        <f t="shared" si="12"/>
        <v>2839</v>
      </c>
      <c r="E283" s="5">
        <f t="shared" si="13"/>
        <v>0.60299258844916792</v>
      </c>
      <c r="F283" s="5">
        <f t="shared" si="14"/>
        <v>3.1564017020596524E-2</v>
      </c>
    </row>
    <row r="284" spans="1:6" x14ac:dyDescent="0.3">
      <c r="A284" s="7">
        <v>42506</v>
      </c>
      <c r="B284" s="3">
        <v>7128</v>
      </c>
      <c r="C284" s="3">
        <v>2427</v>
      </c>
      <c r="D284" s="3">
        <f t="shared" si="12"/>
        <v>4701</v>
      </c>
      <c r="E284" s="5">
        <f t="shared" si="13"/>
        <v>0.34048821548821551</v>
      </c>
      <c r="F284" s="5">
        <f t="shared" si="14"/>
        <v>-0.23094035594035589</v>
      </c>
    </row>
    <row r="285" spans="1:6" x14ac:dyDescent="0.3">
      <c r="A285" s="7">
        <v>42513</v>
      </c>
      <c r="B285" s="3">
        <v>7139</v>
      </c>
      <c r="C285" s="3">
        <v>4726</v>
      </c>
      <c r="D285" s="3">
        <f t="shared" si="12"/>
        <v>2413</v>
      </c>
      <c r="E285" s="5">
        <f t="shared" si="13"/>
        <v>0.66199747863846481</v>
      </c>
      <c r="F285" s="5">
        <f t="shared" si="14"/>
        <v>9.0568907209893412E-2</v>
      </c>
    </row>
    <row r="286" spans="1:6" x14ac:dyDescent="0.3">
      <c r="A286" s="7">
        <v>42520</v>
      </c>
      <c r="B286" s="3">
        <v>7117</v>
      </c>
      <c r="C286" s="3">
        <v>4327</v>
      </c>
      <c r="D286" s="3">
        <f t="shared" si="12"/>
        <v>2790</v>
      </c>
      <c r="E286" s="5">
        <f t="shared" si="13"/>
        <v>0.60798089082478568</v>
      </c>
      <c r="F286" s="5">
        <f t="shared" si="14"/>
        <v>3.6552319396214283E-2</v>
      </c>
    </row>
    <row r="287" spans="1:6" x14ac:dyDescent="0.3">
      <c r="A287" s="7">
        <v>42527</v>
      </c>
      <c r="B287" s="3">
        <v>7136</v>
      </c>
      <c r="C287" s="3">
        <v>4169</v>
      </c>
      <c r="D287" s="3">
        <f t="shared" si="12"/>
        <v>2967</v>
      </c>
      <c r="E287" s="5">
        <f t="shared" si="13"/>
        <v>0.58422085201793716</v>
      </c>
      <c r="F287" s="5">
        <f t="shared" si="14"/>
        <v>1.2792280589365768E-2</v>
      </c>
    </row>
    <row r="288" spans="1:6" x14ac:dyDescent="0.3">
      <c r="A288" s="7">
        <v>42534</v>
      </c>
      <c r="B288" s="3">
        <v>7160</v>
      </c>
      <c r="C288" s="3">
        <v>4836</v>
      </c>
      <c r="D288" s="3">
        <f t="shared" si="12"/>
        <v>2324</v>
      </c>
      <c r="E288" s="5">
        <f t="shared" si="13"/>
        <v>0.6754189944134078</v>
      </c>
      <c r="F288" s="5">
        <f t="shared" si="14"/>
        <v>0.10399042298483641</v>
      </c>
    </row>
    <row r="289" spans="1:6" x14ac:dyDescent="0.3">
      <c r="A289" s="7">
        <v>42541</v>
      </c>
      <c r="B289" s="3">
        <v>7161</v>
      </c>
      <c r="C289" s="3">
        <v>4304</v>
      </c>
      <c r="D289" s="3">
        <f t="shared" si="12"/>
        <v>2857</v>
      </c>
      <c r="E289" s="5">
        <f t="shared" si="13"/>
        <v>0.60103337522692357</v>
      </c>
      <c r="F289" s="5">
        <f t="shared" si="14"/>
        <v>2.9604803798352175E-2</v>
      </c>
    </row>
    <row r="290" spans="1:6" x14ac:dyDescent="0.3">
      <c r="A290" s="7">
        <v>42548</v>
      </c>
      <c r="B290" s="3">
        <v>7166</v>
      </c>
      <c r="C290" s="3">
        <v>3607</v>
      </c>
      <c r="D290" s="3">
        <f t="shared" si="12"/>
        <v>3559</v>
      </c>
      <c r="E290" s="5">
        <f t="shared" si="13"/>
        <v>0.50334914875802406</v>
      </c>
      <c r="F290" s="5">
        <f t="shared" si="14"/>
        <v>-6.807942267054734E-2</v>
      </c>
    </row>
    <row r="291" spans="1:6" x14ac:dyDescent="0.3">
      <c r="A291" s="7">
        <v>42555</v>
      </c>
      <c r="B291" s="3">
        <v>7127</v>
      </c>
      <c r="C291" s="3">
        <v>3156</v>
      </c>
      <c r="D291" s="3">
        <f t="shared" si="12"/>
        <v>3971</v>
      </c>
      <c r="E291" s="5">
        <f t="shared" si="13"/>
        <v>0.44282306720920445</v>
      </c>
      <c r="F291" s="5">
        <f t="shared" si="14"/>
        <v>-0.12860550421936695</v>
      </c>
    </row>
    <row r="292" spans="1:6" x14ac:dyDescent="0.3">
      <c r="A292" s="7">
        <v>42562</v>
      </c>
      <c r="B292" s="3">
        <v>7141</v>
      </c>
      <c r="C292" s="3">
        <v>3819</v>
      </c>
      <c r="D292" s="3">
        <f t="shared" si="12"/>
        <v>3322</v>
      </c>
      <c r="E292" s="5">
        <f t="shared" si="13"/>
        <v>0.5347990477524156</v>
      </c>
      <c r="F292" s="5">
        <f t="shared" si="14"/>
        <v>-3.6629523676155795E-2</v>
      </c>
    </row>
    <row r="293" spans="1:6" x14ac:dyDescent="0.3">
      <c r="A293" s="7">
        <v>42569</v>
      </c>
      <c r="B293" s="3">
        <v>7152</v>
      </c>
      <c r="C293" s="3">
        <v>3604</v>
      </c>
      <c r="D293" s="3">
        <f t="shared" si="12"/>
        <v>3548</v>
      </c>
      <c r="E293" s="5">
        <f t="shared" si="13"/>
        <v>0.50391498881431762</v>
      </c>
      <c r="F293" s="5">
        <f t="shared" si="14"/>
        <v>-6.7513582614253775E-2</v>
      </c>
    </row>
    <row r="294" spans="1:6" x14ac:dyDescent="0.3">
      <c r="A294" s="7">
        <v>42576</v>
      </c>
      <c r="B294" s="3">
        <v>7136</v>
      </c>
      <c r="C294" s="3">
        <v>3443</v>
      </c>
      <c r="D294" s="3">
        <f t="shared" si="12"/>
        <v>3693</v>
      </c>
      <c r="E294" s="5">
        <f t="shared" si="13"/>
        <v>0.48248318385650224</v>
      </c>
      <c r="F294" s="5">
        <f t="shared" si="14"/>
        <v>-8.8945387572069157E-2</v>
      </c>
    </row>
    <row r="295" spans="1:6" x14ac:dyDescent="0.3">
      <c r="A295" s="7">
        <v>42583</v>
      </c>
      <c r="B295" s="3">
        <v>7131</v>
      </c>
      <c r="C295" s="3">
        <v>4944</v>
      </c>
      <c r="D295" s="3">
        <f t="shared" si="12"/>
        <v>2187</v>
      </c>
      <c r="E295" s="5">
        <f t="shared" si="13"/>
        <v>0.69331089608750529</v>
      </c>
      <c r="F295" s="5">
        <f t="shared" si="14"/>
        <v>0.12188232465893389</v>
      </c>
    </row>
    <row r="296" spans="1:6" x14ac:dyDescent="0.3">
      <c r="A296" s="7">
        <v>42590</v>
      </c>
      <c r="B296" s="3">
        <v>7133</v>
      </c>
      <c r="C296" s="3">
        <v>5274</v>
      </c>
      <c r="D296" s="3">
        <f t="shared" si="12"/>
        <v>1859</v>
      </c>
      <c r="E296" s="5">
        <f t="shared" si="13"/>
        <v>0.73938034487592874</v>
      </c>
      <c r="F296" s="5">
        <f t="shared" si="14"/>
        <v>0.16795177344735734</v>
      </c>
    </row>
    <row r="297" spans="1:6" x14ac:dyDescent="0.3">
      <c r="A297" s="7">
        <v>42597</v>
      </c>
      <c r="B297" s="3">
        <v>7141</v>
      </c>
      <c r="C297" s="3">
        <v>4353</v>
      </c>
      <c r="D297" s="3">
        <f t="shared" si="12"/>
        <v>2788</v>
      </c>
      <c r="E297" s="5">
        <f t="shared" si="13"/>
        <v>0.609578490407506</v>
      </c>
      <c r="F297" s="5">
        <f t="shared" si="14"/>
        <v>3.8149918978934605E-2</v>
      </c>
    </row>
    <row r="298" spans="1:6" x14ac:dyDescent="0.3">
      <c r="A298" s="7">
        <v>42604</v>
      </c>
      <c r="B298" s="3">
        <v>7127</v>
      </c>
      <c r="C298" s="3">
        <v>3409</v>
      </c>
      <c r="D298" s="3">
        <f t="shared" si="12"/>
        <v>3718</v>
      </c>
      <c r="E298" s="5">
        <f t="shared" si="13"/>
        <v>0.47832187456152658</v>
      </c>
      <c r="F298" s="5">
        <f t="shared" si="14"/>
        <v>-9.3106696867044814E-2</v>
      </c>
    </row>
    <row r="299" spans="1:6" x14ac:dyDescent="0.3">
      <c r="A299" s="7">
        <v>42611</v>
      </c>
      <c r="B299" s="3">
        <v>7147</v>
      </c>
      <c r="C299" s="3">
        <v>2897</v>
      </c>
      <c r="D299" s="3">
        <f t="shared" si="12"/>
        <v>4250</v>
      </c>
      <c r="E299" s="5">
        <f t="shared" si="13"/>
        <v>0.40534489995802436</v>
      </c>
      <c r="F299" s="5">
        <f t="shared" si="14"/>
        <v>-0.16608367147054703</v>
      </c>
    </row>
    <row r="300" spans="1:6" x14ac:dyDescent="0.3">
      <c r="A300" s="7">
        <v>42618</v>
      </c>
      <c r="B300" s="3">
        <v>7121</v>
      </c>
      <c r="C300" s="3">
        <v>5021</v>
      </c>
      <c r="D300" s="3">
        <f t="shared" si="12"/>
        <v>2100</v>
      </c>
      <c r="E300" s="5">
        <f t="shared" si="13"/>
        <v>0.70509759865187471</v>
      </c>
      <c r="F300" s="5">
        <f t="shared" si="14"/>
        <v>0.13366902722330332</v>
      </c>
    </row>
    <row r="301" spans="1:6" x14ac:dyDescent="0.3">
      <c r="A301" s="7">
        <v>42625</v>
      </c>
      <c r="B301" s="3">
        <v>7154</v>
      </c>
      <c r="C301" s="3">
        <v>3455</v>
      </c>
      <c r="D301" s="3">
        <f t="shared" si="12"/>
        <v>3699</v>
      </c>
      <c r="E301" s="5">
        <f t="shared" si="13"/>
        <v>0.4829466032988538</v>
      </c>
      <c r="F301" s="5">
        <f t="shared" si="14"/>
        <v>-8.8481968129717592E-2</v>
      </c>
    </row>
    <row r="302" spans="1:6" x14ac:dyDescent="0.3">
      <c r="A302" s="7">
        <v>42632</v>
      </c>
      <c r="B302" s="3">
        <v>7157</v>
      </c>
      <c r="C302" s="3">
        <v>3745</v>
      </c>
      <c r="D302" s="3">
        <f t="shared" si="12"/>
        <v>3412</v>
      </c>
      <c r="E302" s="5">
        <f t="shared" si="13"/>
        <v>0.52326393740394017</v>
      </c>
      <c r="F302" s="5">
        <f t="shared" si="14"/>
        <v>-4.8164634024631225E-2</v>
      </c>
    </row>
    <row r="303" spans="1:6" x14ac:dyDescent="0.3">
      <c r="A303" s="7">
        <v>42639</v>
      </c>
      <c r="B303" s="3">
        <v>7143</v>
      </c>
      <c r="C303" s="3">
        <v>3341</v>
      </c>
      <c r="D303" s="3">
        <f t="shared" si="12"/>
        <v>3802</v>
      </c>
      <c r="E303" s="5">
        <f t="shared" si="13"/>
        <v>0.46773064538709225</v>
      </c>
      <c r="F303" s="5">
        <f t="shared" si="14"/>
        <v>-0.10369792604147915</v>
      </c>
    </row>
    <row r="304" spans="1:6" x14ac:dyDescent="0.3">
      <c r="A304" s="7">
        <v>42646</v>
      </c>
      <c r="B304" s="3">
        <v>7154</v>
      </c>
      <c r="C304" s="3">
        <v>5088</v>
      </c>
      <c r="D304" s="3">
        <f t="shared" si="12"/>
        <v>2066</v>
      </c>
      <c r="E304" s="5">
        <f t="shared" si="13"/>
        <v>0.71121051160190107</v>
      </c>
      <c r="F304" s="5">
        <f t="shared" si="14"/>
        <v>0.13978194017332968</v>
      </c>
    </row>
    <row r="305" spans="1:6" x14ac:dyDescent="0.3">
      <c r="A305" s="7">
        <v>42653</v>
      </c>
      <c r="B305" s="3">
        <v>7155</v>
      </c>
      <c r="C305" s="3">
        <v>4985</v>
      </c>
      <c r="D305" s="3">
        <f t="shared" si="12"/>
        <v>2170</v>
      </c>
      <c r="E305" s="5">
        <f t="shared" si="13"/>
        <v>0.69671558350803631</v>
      </c>
      <c r="F305" s="5">
        <f t="shared" si="14"/>
        <v>0.12528701207946491</v>
      </c>
    </row>
    <row r="306" spans="1:6" x14ac:dyDescent="0.3">
      <c r="A306" s="7">
        <v>42660</v>
      </c>
      <c r="B306" s="3">
        <v>7129</v>
      </c>
      <c r="C306" s="3">
        <v>3361</v>
      </c>
      <c r="D306" s="3">
        <f t="shared" si="12"/>
        <v>3768</v>
      </c>
      <c r="E306" s="5">
        <f t="shared" si="13"/>
        <v>0.47145462196661525</v>
      </c>
      <c r="F306" s="5">
        <f t="shared" si="14"/>
        <v>-9.9973949461956146E-2</v>
      </c>
    </row>
    <row r="307" spans="1:6" x14ac:dyDescent="0.3">
      <c r="A307" s="7">
        <v>42667</v>
      </c>
      <c r="B307" s="3">
        <v>7133</v>
      </c>
      <c r="C307" s="3">
        <v>3137</v>
      </c>
      <c r="D307" s="3">
        <f t="shared" si="12"/>
        <v>3996</v>
      </c>
      <c r="E307" s="5">
        <f t="shared" si="13"/>
        <v>0.43978690593018366</v>
      </c>
      <c r="F307" s="5">
        <f t="shared" si="14"/>
        <v>-0.13164166549838774</v>
      </c>
    </row>
    <row r="308" spans="1:6" x14ac:dyDescent="0.3">
      <c r="A308" s="7">
        <v>42674</v>
      </c>
      <c r="B308" s="3">
        <v>7098</v>
      </c>
      <c r="C308" s="3">
        <v>3882</v>
      </c>
      <c r="D308" s="3">
        <f t="shared" si="12"/>
        <v>3216</v>
      </c>
      <c r="E308" s="5">
        <f t="shared" si="13"/>
        <v>0.54691462383770073</v>
      </c>
      <c r="F308" s="5">
        <f t="shared" si="14"/>
        <v>-2.4513947590870666E-2</v>
      </c>
    </row>
    <row r="309" spans="1:6" x14ac:dyDescent="0.3">
      <c r="A309" s="7">
        <v>42681</v>
      </c>
      <c r="B309" s="3">
        <v>7163</v>
      </c>
      <c r="C309" s="3">
        <v>3627</v>
      </c>
      <c r="D309" s="3">
        <f t="shared" si="12"/>
        <v>3536</v>
      </c>
      <c r="E309" s="5">
        <f t="shared" si="13"/>
        <v>0.50635208711433755</v>
      </c>
      <c r="F309" s="5">
        <f t="shared" si="14"/>
        <v>-6.5076484314233851E-2</v>
      </c>
    </row>
    <row r="310" spans="1:6" x14ac:dyDescent="0.3">
      <c r="A310" s="7">
        <v>42688</v>
      </c>
      <c r="B310" s="3">
        <v>7173</v>
      </c>
      <c r="C310" s="3">
        <v>4108</v>
      </c>
      <c r="D310" s="3">
        <f t="shared" si="12"/>
        <v>3065</v>
      </c>
      <c r="E310" s="5">
        <f t="shared" si="13"/>
        <v>0.57270319252753377</v>
      </c>
      <c r="F310" s="5">
        <f t="shared" si="14"/>
        <v>1.2746210989623696E-3</v>
      </c>
    </row>
    <row r="311" spans="1:6" x14ac:dyDescent="0.3">
      <c r="A311" s="7">
        <v>42695</v>
      </c>
      <c r="B311" s="3">
        <v>7149</v>
      </c>
      <c r="C311" s="3">
        <v>3210</v>
      </c>
      <c r="D311" s="3">
        <f t="shared" si="12"/>
        <v>3939</v>
      </c>
      <c r="E311" s="5">
        <f t="shared" si="13"/>
        <v>0.44901384809064204</v>
      </c>
      <c r="F311" s="5">
        <f t="shared" si="14"/>
        <v>-0.12241472333792935</v>
      </c>
    </row>
    <row r="312" spans="1:6" x14ac:dyDescent="0.3">
      <c r="A312" s="7">
        <v>42702</v>
      </c>
      <c r="B312" s="3">
        <v>7164</v>
      </c>
      <c r="C312" s="3">
        <v>3599</v>
      </c>
      <c r="D312" s="3">
        <f t="shared" si="12"/>
        <v>3565</v>
      </c>
      <c r="E312" s="5">
        <f t="shared" si="13"/>
        <v>0.50237297599106645</v>
      </c>
      <c r="F312" s="5">
        <f t="shared" si="14"/>
        <v>-6.9055595437504946E-2</v>
      </c>
    </row>
    <row r="313" spans="1:6" x14ac:dyDescent="0.3">
      <c r="A313" s="7">
        <v>42709</v>
      </c>
      <c r="B313" s="3">
        <v>7166</v>
      </c>
      <c r="C313" s="3">
        <v>5058</v>
      </c>
      <c r="D313" s="3">
        <f t="shared" si="12"/>
        <v>2108</v>
      </c>
      <c r="E313" s="5">
        <f t="shared" si="13"/>
        <v>0.70583310075355843</v>
      </c>
      <c r="F313" s="5">
        <f t="shared" si="14"/>
        <v>0.13440452932498703</v>
      </c>
    </row>
    <row r="314" spans="1:6" x14ac:dyDescent="0.3">
      <c r="A314" s="7">
        <v>42716</v>
      </c>
      <c r="B314" s="3">
        <v>7163</v>
      </c>
      <c r="C314" s="3">
        <v>3260</v>
      </c>
      <c r="D314" s="3">
        <f t="shared" si="12"/>
        <v>3903</v>
      </c>
      <c r="E314" s="5">
        <f t="shared" si="13"/>
        <v>0.45511657126902139</v>
      </c>
      <c r="F314" s="5">
        <f t="shared" si="14"/>
        <v>-0.11631200015955001</v>
      </c>
    </row>
    <row r="315" spans="1:6" x14ac:dyDescent="0.3">
      <c r="A315" s="7">
        <v>42723</v>
      </c>
      <c r="B315" s="3">
        <v>7148</v>
      </c>
      <c r="C315" s="3">
        <v>3659</v>
      </c>
      <c r="D315" s="3">
        <f t="shared" si="12"/>
        <v>3489</v>
      </c>
      <c r="E315" s="5">
        <f t="shared" si="13"/>
        <v>0.51189143816452154</v>
      </c>
      <c r="F315" s="5">
        <f t="shared" si="14"/>
        <v>-5.9537133264049857E-2</v>
      </c>
    </row>
    <row r="316" spans="1:6" x14ac:dyDescent="0.3">
      <c r="A316" s="7">
        <v>42730</v>
      </c>
      <c r="B316" s="3">
        <v>6652</v>
      </c>
      <c r="C316" s="3">
        <v>3370</v>
      </c>
      <c r="D316" s="3">
        <f t="shared" si="12"/>
        <v>3282</v>
      </c>
      <c r="E316" s="5">
        <f t="shared" si="13"/>
        <v>0.50661455201443173</v>
      </c>
      <c r="F316" s="5">
        <f t="shared" si="14"/>
        <v>-6.4814019414139667E-2</v>
      </c>
    </row>
    <row r="317" spans="1:6" x14ac:dyDescent="0.3">
      <c r="A317" s="7">
        <v>42737</v>
      </c>
      <c r="B317" s="3">
        <v>7025</v>
      </c>
      <c r="C317" s="3">
        <v>3996</v>
      </c>
      <c r="D317" s="3">
        <f t="shared" si="12"/>
        <v>3029</v>
      </c>
      <c r="E317" s="5">
        <f t="shared" si="13"/>
        <v>0.56882562277580073</v>
      </c>
      <c r="F317" s="5">
        <f t="shared" si="14"/>
        <v>-2.6029486527706647E-3</v>
      </c>
    </row>
    <row r="318" spans="1:6" x14ac:dyDescent="0.3">
      <c r="A318" s="7">
        <v>42744</v>
      </c>
      <c r="B318" s="3">
        <v>7169</v>
      </c>
      <c r="C318" s="3">
        <v>4840</v>
      </c>
      <c r="D318" s="3">
        <f t="shared" si="12"/>
        <v>2329</v>
      </c>
      <c r="E318" s="5">
        <f t="shared" si="13"/>
        <v>0.67512902775840422</v>
      </c>
      <c r="F318" s="5">
        <f t="shared" si="14"/>
        <v>0.10370045632983282</v>
      </c>
    </row>
    <row r="319" spans="1:6" x14ac:dyDescent="0.3">
      <c r="A319" s="7">
        <v>42751</v>
      </c>
      <c r="B319" s="3">
        <v>7168</v>
      </c>
      <c r="C319" s="3">
        <v>4774</v>
      </c>
      <c r="D319" s="3">
        <f t="shared" si="12"/>
        <v>2394</v>
      </c>
      <c r="E319" s="5">
        <f t="shared" si="13"/>
        <v>0.666015625</v>
      </c>
      <c r="F319" s="5">
        <f t="shared" si="14"/>
        <v>9.4587053571428603E-2</v>
      </c>
    </row>
    <row r="320" spans="1:6" x14ac:dyDescent="0.3">
      <c r="A320" s="7">
        <v>42758</v>
      </c>
      <c r="B320" s="3">
        <v>7175</v>
      </c>
      <c r="C320" s="3">
        <v>2859</v>
      </c>
      <c r="D320" s="3">
        <f t="shared" si="12"/>
        <v>4316</v>
      </c>
      <c r="E320" s="5">
        <f t="shared" si="13"/>
        <v>0.39846689895470383</v>
      </c>
      <c r="F320" s="5">
        <f t="shared" si="14"/>
        <v>-0.17296167247386757</v>
      </c>
    </row>
    <row r="321" spans="1:6" x14ac:dyDescent="0.3">
      <c r="A321" s="7">
        <v>42765</v>
      </c>
      <c r="B321" s="3">
        <v>7166</v>
      </c>
      <c r="C321" s="3">
        <v>4543</v>
      </c>
      <c r="D321" s="3">
        <f t="shared" si="12"/>
        <v>2623</v>
      </c>
      <c r="E321" s="5">
        <f t="shared" si="13"/>
        <v>0.63396595032096004</v>
      </c>
      <c r="F321" s="5">
        <f t="shared" si="14"/>
        <v>6.253737889238864E-2</v>
      </c>
    </row>
    <row r="322" spans="1:6" x14ac:dyDescent="0.3">
      <c r="A322" s="7">
        <v>42772</v>
      </c>
      <c r="B322" s="3">
        <v>7171</v>
      </c>
      <c r="C322" s="3">
        <v>4468</v>
      </c>
      <c r="D322" s="3">
        <f t="shared" si="12"/>
        <v>2703</v>
      </c>
      <c r="E322" s="5">
        <f t="shared" si="13"/>
        <v>0.62306512341374987</v>
      </c>
      <c r="F322" s="5">
        <f t="shared" si="14"/>
        <v>5.1636551985178469E-2</v>
      </c>
    </row>
    <row r="323" spans="1:6" x14ac:dyDescent="0.3">
      <c r="A323" s="7">
        <v>42779</v>
      </c>
      <c r="B323" s="3">
        <v>7171</v>
      </c>
      <c r="C323" s="3">
        <v>4326</v>
      </c>
      <c r="D323" s="3">
        <f t="shared" si="12"/>
        <v>2845</v>
      </c>
      <c r="E323" s="5">
        <f t="shared" si="13"/>
        <v>0.60326314321573005</v>
      </c>
      <c r="F323" s="5">
        <f t="shared" si="14"/>
        <v>3.183457178715865E-2</v>
      </c>
    </row>
    <row r="324" spans="1:6" x14ac:dyDescent="0.3">
      <c r="A324" s="7">
        <v>42786</v>
      </c>
      <c r="B324" s="3">
        <v>7166</v>
      </c>
      <c r="C324" s="3">
        <v>4357</v>
      </c>
      <c r="D324" s="3">
        <f t="shared" si="12"/>
        <v>2809</v>
      </c>
      <c r="E324" s="5">
        <f t="shared" si="13"/>
        <v>0.60801004744627407</v>
      </c>
      <c r="F324" s="5">
        <f t="shared" si="14"/>
        <v>3.6581476017702674E-2</v>
      </c>
    </row>
    <row r="325" spans="1:6" x14ac:dyDescent="0.3">
      <c r="A325" s="7">
        <v>42793</v>
      </c>
      <c r="B325" s="3">
        <v>7152</v>
      </c>
      <c r="C325" s="3">
        <v>3656</v>
      </c>
      <c r="D325" s="3">
        <f t="shared" si="12"/>
        <v>3496</v>
      </c>
      <c r="E325" s="5">
        <f t="shared" si="13"/>
        <v>0.51118568232662187</v>
      </c>
      <c r="F325" s="5">
        <f t="shared" si="14"/>
        <v>-6.0242889101949526E-2</v>
      </c>
    </row>
    <row r="326" spans="1:6" x14ac:dyDescent="0.3">
      <c r="A326" s="7">
        <v>42800</v>
      </c>
      <c r="B326" s="3">
        <v>7159</v>
      </c>
      <c r="C326" s="3">
        <v>3798</v>
      </c>
      <c r="D326" s="3">
        <f t="shared" si="12"/>
        <v>3361</v>
      </c>
      <c r="E326" s="5">
        <f t="shared" si="13"/>
        <v>0.53052102248917443</v>
      </c>
      <c r="F326" s="5">
        <f t="shared" si="14"/>
        <v>-4.0907548939396965E-2</v>
      </c>
    </row>
    <row r="327" spans="1:6" x14ac:dyDescent="0.3">
      <c r="A327" s="7">
        <v>42807</v>
      </c>
      <c r="B327" s="3">
        <v>7104</v>
      </c>
      <c r="C327" s="3">
        <v>4203</v>
      </c>
      <c r="D327" s="3">
        <f t="shared" si="12"/>
        <v>2901</v>
      </c>
      <c r="E327" s="5">
        <f t="shared" si="13"/>
        <v>0.59163851351351349</v>
      </c>
      <c r="F327" s="5">
        <f t="shared" si="14"/>
        <v>2.020994208494209E-2</v>
      </c>
    </row>
    <row r="328" spans="1:6" x14ac:dyDescent="0.3">
      <c r="A328" s="7">
        <v>42814</v>
      </c>
      <c r="B328" s="3">
        <v>7089</v>
      </c>
      <c r="C328" s="3">
        <v>2637</v>
      </c>
      <c r="D328" s="3">
        <f t="shared" si="12"/>
        <v>4452</v>
      </c>
      <c r="E328" s="5">
        <f t="shared" si="13"/>
        <v>0.37198476512907319</v>
      </c>
      <c r="F328" s="5">
        <f t="shared" si="14"/>
        <v>-0.19944380629949821</v>
      </c>
    </row>
    <row r="329" spans="1:6" x14ac:dyDescent="0.3">
      <c r="A329" s="7">
        <v>42821</v>
      </c>
      <c r="B329" s="3">
        <v>7156</v>
      </c>
      <c r="C329" s="3">
        <v>5807</v>
      </c>
      <c r="D329" s="3">
        <f t="shared" ref="D329:D392" si="15">B329-C329</f>
        <v>1349</v>
      </c>
      <c r="E329" s="5">
        <f t="shared" ref="E329:E392" si="16">C329/B329</f>
        <v>0.81148686416992732</v>
      </c>
      <c r="F329" s="5">
        <f t="shared" ref="F329:F392" si="17">E329-$B$6</f>
        <v>0.24005829274135593</v>
      </c>
    </row>
    <row r="330" spans="1:6" x14ac:dyDescent="0.3">
      <c r="A330" s="7">
        <v>42828</v>
      </c>
      <c r="B330" s="3">
        <v>7135</v>
      </c>
      <c r="C330" s="3">
        <v>3532</v>
      </c>
      <c r="D330" s="3">
        <f t="shared" si="15"/>
        <v>3603</v>
      </c>
      <c r="E330" s="5">
        <f t="shared" si="16"/>
        <v>0.49502452697967764</v>
      </c>
      <c r="F330" s="5">
        <f t="shared" si="17"/>
        <v>-7.640404444889376E-2</v>
      </c>
    </row>
    <row r="331" spans="1:6" x14ac:dyDescent="0.3">
      <c r="A331" s="7">
        <v>42835</v>
      </c>
      <c r="B331" s="3">
        <v>7106</v>
      </c>
      <c r="C331" s="3">
        <v>5055</v>
      </c>
      <c r="D331" s="3">
        <f t="shared" si="15"/>
        <v>2051</v>
      </c>
      <c r="E331" s="5">
        <f t="shared" si="16"/>
        <v>0.71137067267098231</v>
      </c>
      <c r="F331" s="5">
        <f t="shared" si="17"/>
        <v>0.13994210124241091</v>
      </c>
    </row>
    <row r="332" spans="1:6" x14ac:dyDescent="0.3">
      <c r="A332" s="7">
        <v>42842</v>
      </c>
      <c r="B332" s="3">
        <v>7123</v>
      </c>
      <c r="C332" s="3">
        <v>4699</v>
      </c>
      <c r="D332" s="3">
        <f t="shared" si="15"/>
        <v>2424</v>
      </c>
      <c r="E332" s="5">
        <f t="shared" si="16"/>
        <v>0.65969394917871682</v>
      </c>
      <c r="F332" s="5">
        <f t="shared" si="17"/>
        <v>8.8265377750145424E-2</v>
      </c>
    </row>
    <row r="333" spans="1:6" x14ac:dyDescent="0.3">
      <c r="A333" s="7">
        <v>42849</v>
      </c>
      <c r="B333" s="3">
        <v>7165</v>
      </c>
      <c r="C333" s="3">
        <v>4209</v>
      </c>
      <c r="D333" s="3">
        <f t="shared" si="15"/>
        <v>2956</v>
      </c>
      <c r="E333" s="5">
        <f t="shared" si="16"/>
        <v>0.58743893928820656</v>
      </c>
      <c r="F333" s="5">
        <f t="shared" si="17"/>
        <v>1.6010367859635166E-2</v>
      </c>
    </row>
    <row r="334" spans="1:6" x14ac:dyDescent="0.3">
      <c r="A334" s="7">
        <v>42856</v>
      </c>
      <c r="B334" s="3">
        <v>7137</v>
      </c>
      <c r="C334" s="3">
        <v>2460</v>
      </c>
      <c r="D334" s="3">
        <f t="shared" si="15"/>
        <v>4677</v>
      </c>
      <c r="E334" s="5">
        <f t="shared" si="16"/>
        <v>0.344682639764607</v>
      </c>
      <c r="F334" s="5">
        <f t="shared" si="17"/>
        <v>-0.2267459316639644</v>
      </c>
    </row>
    <row r="335" spans="1:6" x14ac:dyDescent="0.3">
      <c r="A335" s="7">
        <v>42863</v>
      </c>
      <c r="B335" s="3">
        <v>7150</v>
      </c>
      <c r="C335" s="3">
        <v>4523</v>
      </c>
      <c r="D335" s="3">
        <f t="shared" si="15"/>
        <v>2627</v>
      </c>
      <c r="E335" s="5">
        <f t="shared" si="16"/>
        <v>0.63258741258741258</v>
      </c>
      <c r="F335" s="5">
        <f t="shared" si="17"/>
        <v>6.1158841158841182E-2</v>
      </c>
    </row>
    <row r="336" spans="1:6" x14ac:dyDescent="0.3">
      <c r="A336" s="7">
        <v>42870</v>
      </c>
      <c r="B336" s="3">
        <v>7122</v>
      </c>
      <c r="C336" s="3">
        <v>5738</v>
      </c>
      <c r="D336" s="3">
        <f t="shared" si="15"/>
        <v>1384</v>
      </c>
      <c r="E336" s="5">
        <f t="shared" si="16"/>
        <v>0.80567256388654873</v>
      </c>
      <c r="F336" s="5">
        <f t="shared" si="17"/>
        <v>0.23424399245797733</v>
      </c>
    </row>
    <row r="337" spans="1:6" x14ac:dyDescent="0.3">
      <c r="A337" s="7">
        <v>42877</v>
      </c>
      <c r="B337" s="3">
        <v>7140</v>
      </c>
      <c r="C337" s="3">
        <v>3291</v>
      </c>
      <c r="D337" s="3">
        <f t="shared" si="15"/>
        <v>3849</v>
      </c>
      <c r="E337" s="5">
        <f t="shared" si="16"/>
        <v>0.46092436974789913</v>
      </c>
      <c r="F337" s="5">
        <f t="shared" si="17"/>
        <v>-0.11050420168067226</v>
      </c>
    </row>
    <row r="338" spans="1:6" x14ac:dyDescent="0.3">
      <c r="A338" s="7">
        <v>42884</v>
      </c>
      <c r="B338" s="3">
        <v>7084</v>
      </c>
      <c r="C338" s="3">
        <v>4845</v>
      </c>
      <c r="D338" s="3">
        <f t="shared" si="15"/>
        <v>2239</v>
      </c>
      <c r="E338" s="5">
        <f t="shared" si="16"/>
        <v>0.68393562958780352</v>
      </c>
      <c r="F338" s="5">
        <f t="shared" si="17"/>
        <v>0.11250705815923212</v>
      </c>
    </row>
    <row r="339" spans="1:6" x14ac:dyDescent="0.3">
      <c r="A339" s="7">
        <v>42891</v>
      </c>
      <c r="B339" s="3">
        <v>7130</v>
      </c>
      <c r="C339" s="3">
        <v>4559</v>
      </c>
      <c r="D339" s="3">
        <f t="shared" si="15"/>
        <v>2571</v>
      </c>
      <c r="E339" s="5">
        <f t="shared" si="16"/>
        <v>0.63941093969144458</v>
      </c>
      <c r="F339" s="5">
        <f t="shared" si="17"/>
        <v>6.7982368262873183E-2</v>
      </c>
    </row>
    <row r="340" spans="1:6" x14ac:dyDescent="0.3">
      <c r="A340" s="7">
        <v>42898</v>
      </c>
      <c r="B340" s="3">
        <v>7113</v>
      </c>
      <c r="C340" s="3">
        <v>5060</v>
      </c>
      <c r="D340" s="3">
        <f t="shared" si="15"/>
        <v>2053</v>
      </c>
      <c r="E340" s="5">
        <f t="shared" si="16"/>
        <v>0.71137354140306486</v>
      </c>
      <c r="F340" s="5">
        <f t="shared" si="17"/>
        <v>0.13994496997449346</v>
      </c>
    </row>
    <row r="341" spans="1:6" x14ac:dyDescent="0.3">
      <c r="A341" s="7">
        <v>42905</v>
      </c>
      <c r="B341" s="3">
        <v>7100</v>
      </c>
      <c r="C341" s="3">
        <v>4034</v>
      </c>
      <c r="D341" s="3">
        <f t="shared" si="15"/>
        <v>3066</v>
      </c>
      <c r="E341" s="5">
        <f t="shared" si="16"/>
        <v>0.56816901408450704</v>
      </c>
      <c r="F341" s="5">
        <f t="shared" si="17"/>
        <v>-3.2595573440643566E-3</v>
      </c>
    </row>
    <row r="342" spans="1:6" x14ac:dyDescent="0.3">
      <c r="A342" s="7">
        <v>42912</v>
      </c>
      <c r="B342" s="3">
        <v>7105</v>
      </c>
      <c r="C342" s="3">
        <v>4664</v>
      </c>
      <c r="D342" s="3">
        <f t="shared" si="15"/>
        <v>2441</v>
      </c>
      <c r="E342" s="5">
        <f t="shared" si="16"/>
        <v>0.65643912737508792</v>
      </c>
      <c r="F342" s="5">
        <f t="shared" si="17"/>
        <v>8.5010555946516519E-2</v>
      </c>
    </row>
    <row r="343" spans="1:6" x14ac:dyDescent="0.3">
      <c r="A343" s="7">
        <v>42919</v>
      </c>
      <c r="B343" s="3">
        <v>7114</v>
      </c>
      <c r="C343" s="3">
        <v>3714</v>
      </c>
      <c r="D343" s="3">
        <f t="shared" si="15"/>
        <v>3400</v>
      </c>
      <c r="E343" s="5">
        <f t="shared" si="16"/>
        <v>0.52206915940399212</v>
      </c>
      <c r="F343" s="5">
        <f t="shared" si="17"/>
        <v>-4.9359412024579274E-2</v>
      </c>
    </row>
    <row r="344" spans="1:6" x14ac:dyDescent="0.3">
      <c r="A344" s="7">
        <v>42926</v>
      </c>
      <c r="B344" s="3">
        <v>7126</v>
      </c>
      <c r="C344" s="3">
        <v>4391</v>
      </c>
      <c r="D344" s="3">
        <f t="shared" si="15"/>
        <v>2735</v>
      </c>
      <c r="E344" s="5">
        <f t="shared" si="16"/>
        <v>0.61619421835531851</v>
      </c>
      <c r="F344" s="5">
        <f t="shared" si="17"/>
        <v>4.4765646926747116E-2</v>
      </c>
    </row>
    <row r="345" spans="1:6" x14ac:dyDescent="0.3">
      <c r="A345" s="7">
        <v>42933</v>
      </c>
      <c r="B345" s="3">
        <v>7140</v>
      </c>
      <c r="C345" s="3">
        <v>4316</v>
      </c>
      <c r="D345" s="3">
        <f t="shared" si="15"/>
        <v>2824</v>
      </c>
      <c r="E345" s="5">
        <f t="shared" si="16"/>
        <v>0.6044817927170868</v>
      </c>
      <c r="F345" s="5">
        <f t="shared" si="17"/>
        <v>3.30532212885154E-2</v>
      </c>
    </row>
    <row r="346" spans="1:6" x14ac:dyDescent="0.3">
      <c r="A346" s="7">
        <v>42940</v>
      </c>
      <c r="B346" s="3">
        <v>7139</v>
      </c>
      <c r="C346" s="3">
        <v>4139</v>
      </c>
      <c r="D346" s="3">
        <f t="shared" si="15"/>
        <v>3000</v>
      </c>
      <c r="E346" s="5">
        <f t="shared" si="16"/>
        <v>0.57977307746182938</v>
      </c>
      <c r="F346" s="5">
        <f t="shared" si="17"/>
        <v>8.3445060332579812E-3</v>
      </c>
    </row>
    <row r="347" spans="1:6" x14ac:dyDescent="0.3">
      <c r="A347" s="7">
        <v>42947</v>
      </c>
      <c r="B347" s="3">
        <v>7152</v>
      </c>
      <c r="C347" s="3">
        <v>4178</v>
      </c>
      <c r="D347" s="3">
        <f t="shared" si="15"/>
        <v>2974</v>
      </c>
      <c r="E347" s="5">
        <f t="shared" si="16"/>
        <v>0.58417225950783003</v>
      </c>
      <c r="F347" s="5">
        <f t="shared" si="17"/>
        <v>1.274368807925863E-2</v>
      </c>
    </row>
    <row r="348" spans="1:6" x14ac:dyDescent="0.3">
      <c r="A348" s="7">
        <v>42954</v>
      </c>
      <c r="B348" s="3">
        <v>7136</v>
      </c>
      <c r="C348" s="3">
        <v>3537</v>
      </c>
      <c r="D348" s="3">
        <f t="shared" si="15"/>
        <v>3599</v>
      </c>
      <c r="E348" s="5">
        <f t="shared" si="16"/>
        <v>0.49565582959641258</v>
      </c>
      <c r="F348" s="5">
        <f t="shared" si="17"/>
        <v>-7.5772741832158819E-2</v>
      </c>
    </row>
    <row r="349" spans="1:6" x14ac:dyDescent="0.3">
      <c r="A349" s="7">
        <v>42961</v>
      </c>
      <c r="B349" s="3">
        <v>7145</v>
      </c>
      <c r="C349" s="3">
        <v>5148</v>
      </c>
      <c r="D349" s="3">
        <f t="shared" si="15"/>
        <v>1997</v>
      </c>
      <c r="E349" s="5">
        <f t="shared" si="16"/>
        <v>0.72050384884534635</v>
      </c>
      <c r="F349" s="5">
        <f t="shared" si="17"/>
        <v>0.14907527741677495</v>
      </c>
    </row>
    <row r="350" spans="1:6" x14ac:dyDescent="0.3">
      <c r="A350" s="7">
        <v>42968</v>
      </c>
      <c r="B350" s="3">
        <v>7116</v>
      </c>
      <c r="C350" s="3">
        <v>3370</v>
      </c>
      <c r="D350" s="3">
        <f t="shared" si="15"/>
        <v>3746</v>
      </c>
      <c r="E350" s="5">
        <f t="shared" si="16"/>
        <v>0.4735806632939854</v>
      </c>
      <c r="F350" s="5">
        <f t="shared" si="17"/>
        <v>-9.7847908134585992E-2</v>
      </c>
    </row>
    <row r="351" spans="1:6" x14ac:dyDescent="0.3">
      <c r="A351" s="7">
        <v>42975</v>
      </c>
      <c r="B351" s="3">
        <v>7151</v>
      </c>
      <c r="C351" s="3">
        <v>5231</v>
      </c>
      <c r="D351" s="3">
        <f t="shared" si="15"/>
        <v>1920</v>
      </c>
      <c r="E351" s="5">
        <f t="shared" si="16"/>
        <v>0.73150608306530551</v>
      </c>
      <c r="F351" s="5">
        <f t="shared" si="17"/>
        <v>0.16007751163673412</v>
      </c>
    </row>
    <row r="352" spans="1:6" x14ac:dyDescent="0.3">
      <c r="A352" s="7">
        <v>42982</v>
      </c>
      <c r="B352" s="3">
        <v>7134</v>
      </c>
      <c r="C352" s="3">
        <v>4416</v>
      </c>
      <c r="D352" s="3">
        <f t="shared" si="15"/>
        <v>2718</v>
      </c>
      <c r="E352" s="5">
        <f t="shared" si="16"/>
        <v>0.61900756938603874</v>
      </c>
      <c r="F352" s="5">
        <f t="shared" si="17"/>
        <v>4.7578997957467339E-2</v>
      </c>
    </row>
    <row r="353" spans="1:6" x14ac:dyDescent="0.3">
      <c r="A353" s="7">
        <v>42989</v>
      </c>
      <c r="B353" s="3">
        <v>7141</v>
      </c>
      <c r="C353" s="3">
        <v>3719</v>
      </c>
      <c r="D353" s="3">
        <f t="shared" si="15"/>
        <v>3422</v>
      </c>
      <c r="E353" s="5">
        <f t="shared" si="16"/>
        <v>0.52079540680576952</v>
      </c>
      <c r="F353" s="5">
        <f t="shared" si="17"/>
        <v>-5.0633164622801874E-2</v>
      </c>
    </row>
    <row r="354" spans="1:6" x14ac:dyDescent="0.3">
      <c r="A354" s="7">
        <v>42996</v>
      </c>
      <c r="B354" s="3">
        <v>7134</v>
      </c>
      <c r="C354" s="3">
        <v>3604</v>
      </c>
      <c r="D354" s="3">
        <f t="shared" si="15"/>
        <v>3530</v>
      </c>
      <c r="E354" s="5">
        <f t="shared" si="16"/>
        <v>0.50518643117465656</v>
      </c>
      <c r="F354" s="5">
        <f t="shared" si="17"/>
        <v>-6.6242140253914839E-2</v>
      </c>
    </row>
    <row r="355" spans="1:6" x14ac:dyDescent="0.3">
      <c r="A355" s="7">
        <v>43003</v>
      </c>
      <c r="B355" s="3">
        <v>7153</v>
      </c>
      <c r="C355" s="3">
        <v>4730</v>
      </c>
      <c r="D355" s="3">
        <f t="shared" si="15"/>
        <v>2423</v>
      </c>
      <c r="E355" s="5">
        <f t="shared" si="16"/>
        <v>0.66126100936669929</v>
      </c>
      <c r="F355" s="5">
        <f t="shared" si="17"/>
        <v>8.9832437938127896E-2</v>
      </c>
    </row>
    <row r="356" spans="1:6" x14ac:dyDescent="0.3">
      <c r="A356" s="7">
        <v>43010</v>
      </c>
      <c r="B356" s="3">
        <v>7152</v>
      </c>
      <c r="C356" s="3">
        <v>3266</v>
      </c>
      <c r="D356" s="3">
        <f t="shared" si="15"/>
        <v>3886</v>
      </c>
      <c r="E356" s="5">
        <f t="shared" si="16"/>
        <v>0.45665548098434006</v>
      </c>
      <c r="F356" s="5">
        <f t="shared" si="17"/>
        <v>-0.11477309044423134</v>
      </c>
    </row>
    <row r="357" spans="1:6" x14ac:dyDescent="0.3">
      <c r="A357" s="7">
        <v>43017</v>
      </c>
      <c r="B357" s="3">
        <v>7127</v>
      </c>
      <c r="C357" s="3">
        <v>4737</v>
      </c>
      <c r="D357" s="3">
        <f t="shared" si="15"/>
        <v>2390</v>
      </c>
      <c r="E357" s="5">
        <f t="shared" si="16"/>
        <v>0.66465553528834009</v>
      </c>
      <c r="F357" s="5">
        <f t="shared" si="17"/>
        <v>9.3226963859768697E-2</v>
      </c>
    </row>
    <row r="358" spans="1:6" x14ac:dyDescent="0.3">
      <c r="A358" s="7">
        <v>43024</v>
      </c>
      <c r="B358" s="3">
        <v>7122</v>
      </c>
      <c r="C358" s="3">
        <v>3714</v>
      </c>
      <c r="D358" s="3">
        <f t="shared" si="15"/>
        <v>3408</v>
      </c>
      <c r="E358" s="5">
        <f t="shared" si="16"/>
        <v>0.52148272957034536</v>
      </c>
      <c r="F358" s="5">
        <f t="shared" si="17"/>
        <v>-4.9945841858226037E-2</v>
      </c>
    </row>
    <row r="359" spans="1:6" x14ac:dyDescent="0.3">
      <c r="A359" s="7">
        <v>43031</v>
      </c>
      <c r="B359" s="3">
        <v>7150</v>
      </c>
      <c r="C359" s="3">
        <v>5131</v>
      </c>
      <c r="D359" s="3">
        <f t="shared" si="15"/>
        <v>2019</v>
      </c>
      <c r="E359" s="5">
        <f t="shared" si="16"/>
        <v>0.71762237762237757</v>
      </c>
      <c r="F359" s="5">
        <f t="shared" si="17"/>
        <v>0.14619380619380618</v>
      </c>
    </row>
    <row r="360" spans="1:6" x14ac:dyDescent="0.3">
      <c r="A360" s="7">
        <v>43038</v>
      </c>
      <c r="B360" s="3">
        <v>7101</v>
      </c>
      <c r="C360" s="3">
        <v>2140</v>
      </c>
      <c r="D360" s="3">
        <f t="shared" si="15"/>
        <v>4961</v>
      </c>
      <c r="E360" s="5">
        <f t="shared" si="16"/>
        <v>0.30136600478805803</v>
      </c>
      <c r="F360" s="5">
        <f t="shared" si="17"/>
        <v>-0.27006256664051337</v>
      </c>
    </row>
    <row r="361" spans="1:6" x14ac:dyDescent="0.3">
      <c r="A361" s="7">
        <v>43045</v>
      </c>
      <c r="B361" s="3">
        <v>7164</v>
      </c>
      <c r="C361" s="3">
        <v>5075</v>
      </c>
      <c r="D361" s="3">
        <f t="shared" si="15"/>
        <v>2089</v>
      </c>
      <c r="E361" s="5">
        <f t="shared" si="16"/>
        <v>0.7084031267448353</v>
      </c>
      <c r="F361" s="5">
        <f t="shared" si="17"/>
        <v>0.1369745553162639</v>
      </c>
    </row>
    <row r="362" spans="1:6" x14ac:dyDescent="0.3">
      <c r="A362" s="7">
        <v>43052</v>
      </c>
      <c r="B362" s="3">
        <v>7139</v>
      </c>
      <c r="C362" s="3">
        <v>5260</v>
      </c>
      <c r="D362" s="3">
        <f t="shared" si="15"/>
        <v>1879</v>
      </c>
      <c r="E362" s="5">
        <f t="shared" si="16"/>
        <v>0.73679787085025916</v>
      </c>
      <c r="F362" s="5">
        <f t="shared" si="17"/>
        <v>0.16536929942168777</v>
      </c>
    </row>
    <row r="363" spans="1:6" x14ac:dyDescent="0.3">
      <c r="A363" s="7">
        <v>43059</v>
      </c>
      <c r="B363" s="3">
        <v>7130</v>
      </c>
      <c r="C363" s="3">
        <v>5383</v>
      </c>
      <c r="D363" s="3">
        <f t="shared" si="15"/>
        <v>1747</v>
      </c>
      <c r="E363" s="5">
        <f t="shared" si="16"/>
        <v>0.75497896213183735</v>
      </c>
      <c r="F363" s="5">
        <f t="shared" si="17"/>
        <v>0.18355039070326595</v>
      </c>
    </row>
    <row r="364" spans="1:6" x14ac:dyDescent="0.3">
      <c r="A364" s="7">
        <v>43066</v>
      </c>
      <c r="B364" s="3">
        <v>7163</v>
      </c>
      <c r="C364" s="3">
        <v>3317</v>
      </c>
      <c r="D364" s="3">
        <f t="shared" si="15"/>
        <v>3846</v>
      </c>
      <c r="E364" s="5">
        <f t="shared" si="16"/>
        <v>0.46307413095071898</v>
      </c>
      <c r="F364" s="5">
        <f t="shared" si="17"/>
        <v>-0.10835444047785242</v>
      </c>
    </row>
    <row r="365" spans="1:6" x14ac:dyDescent="0.3">
      <c r="A365" s="7">
        <v>43073</v>
      </c>
      <c r="B365" s="3">
        <v>7149</v>
      </c>
      <c r="C365" s="3">
        <v>3896</v>
      </c>
      <c r="D365" s="3">
        <f t="shared" si="15"/>
        <v>3253</v>
      </c>
      <c r="E365" s="5">
        <f t="shared" si="16"/>
        <v>0.54497132466079168</v>
      </c>
      <c r="F365" s="5">
        <f t="shared" si="17"/>
        <v>-2.6457246767779719E-2</v>
      </c>
    </row>
    <row r="366" spans="1:6" x14ac:dyDescent="0.3">
      <c r="A366" s="7">
        <v>43080</v>
      </c>
      <c r="B366" s="3">
        <v>7144</v>
      </c>
      <c r="C366" s="3">
        <v>3375</v>
      </c>
      <c r="D366" s="3">
        <f t="shared" si="15"/>
        <v>3769</v>
      </c>
      <c r="E366" s="5">
        <f t="shared" si="16"/>
        <v>0.47242441209406494</v>
      </c>
      <c r="F366" s="5">
        <f t="shared" si="17"/>
        <v>-9.9004159334506459E-2</v>
      </c>
    </row>
    <row r="367" spans="1:6" x14ac:dyDescent="0.3">
      <c r="A367" s="7">
        <v>43087</v>
      </c>
      <c r="B367" s="3">
        <v>7160</v>
      </c>
      <c r="C367" s="3">
        <v>5507</v>
      </c>
      <c r="D367" s="3">
        <f t="shared" si="15"/>
        <v>1653</v>
      </c>
      <c r="E367" s="5">
        <f t="shared" si="16"/>
        <v>0.76913407821229052</v>
      </c>
      <c r="F367" s="5">
        <f t="shared" si="17"/>
        <v>0.19770550678371912</v>
      </c>
    </row>
    <row r="368" spans="1:6" x14ac:dyDescent="0.3">
      <c r="A368" s="7">
        <v>43094</v>
      </c>
      <c r="B368" s="3">
        <v>5348</v>
      </c>
      <c r="C368" s="3">
        <v>4777</v>
      </c>
      <c r="D368" s="3">
        <f t="shared" si="15"/>
        <v>571</v>
      </c>
      <c r="E368" s="5">
        <f t="shared" si="16"/>
        <v>0.8932311144353029</v>
      </c>
      <c r="F368" s="5">
        <f t="shared" si="17"/>
        <v>0.3218025430067315</v>
      </c>
    </row>
    <row r="369" spans="1:6" x14ac:dyDescent="0.3">
      <c r="A369" s="7">
        <v>43101</v>
      </c>
      <c r="B369" s="3">
        <v>5720</v>
      </c>
      <c r="C369" s="3">
        <v>3819</v>
      </c>
      <c r="D369" s="3">
        <f t="shared" si="15"/>
        <v>1901</v>
      </c>
      <c r="E369" s="5">
        <f t="shared" si="16"/>
        <v>0.66765734265734267</v>
      </c>
      <c r="F369" s="5">
        <f t="shared" si="17"/>
        <v>9.622877122877127E-2</v>
      </c>
    </row>
    <row r="370" spans="1:6" x14ac:dyDescent="0.3">
      <c r="A370" s="7">
        <v>43108</v>
      </c>
      <c r="B370" s="3">
        <v>7159</v>
      </c>
      <c r="C370" s="3">
        <v>5604</v>
      </c>
      <c r="D370" s="3">
        <f t="shared" si="15"/>
        <v>1555</v>
      </c>
      <c r="E370" s="5">
        <f t="shared" si="16"/>
        <v>0.78279089258276291</v>
      </c>
      <c r="F370" s="5">
        <f t="shared" si="17"/>
        <v>0.21136232115419151</v>
      </c>
    </row>
    <row r="371" spans="1:6" x14ac:dyDescent="0.3">
      <c r="A371" s="7">
        <v>43115</v>
      </c>
      <c r="B371" s="3">
        <v>7162</v>
      </c>
      <c r="C371" s="3">
        <v>4650</v>
      </c>
      <c r="D371" s="3">
        <f t="shared" si="15"/>
        <v>2512</v>
      </c>
      <c r="E371" s="5">
        <f t="shared" si="16"/>
        <v>0.64925998324490364</v>
      </c>
      <c r="F371" s="5">
        <f t="shared" si="17"/>
        <v>7.7831411816332241E-2</v>
      </c>
    </row>
    <row r="372" spans="1:6" x14ac:dyDescent="0.3">
      <c r="A372" s="7">
        <v>43122</v>
      </c>
      <c r="B372" s="3">
        <v>7160</v>
      </c>
      <c r="C372" s="3">
        <v>4490</v>
      </c>
      <c r="D372" s="3">
        <f t="shared" si="15"/>
        <v>2670</v>
      </c>
      <c r="E372" s="5">
        <f t="shared" si="16"/>
        <v>0.62709497206703912</v>
      </c>
      <c r="F372" s="5">
        <f t="shared" si="17"/>
        <v>5.5666400638467728E-2</v>
      </c>
    </row>
    <row r="373" spans="1:6" x14ac:dyDescent="0.3">
      <c r="A373" s="7">
        <v>43129</v>
      </c>
      <c r="B373" s="3">
        <v>7160</v>
      </c>
      <c r="C373" s="3">
        <v>3515</v>
      </c>
      <c r="D373" s="3">
        <f t="shared" si="15"/>
        <v>3645</v>
      </c>
      <c r="E373" s="5">
        <f t="shared" si="16"/>
        <v>0.49092178770949718</v>
      </c>
      <c r="F373" s="5">
        <f t="shared" si="17"/>
        <v>-8.0506783719074215E-2</v>
      </c>
    </row>
    <row r="374" spans="1:6" x14ac:dyDescent="0.3">
      <c r="A374" s="7">
        <v>43136</v>
      </c>
      <c r="B374" s="3">
        <v>7167</v>
      </c>
      <c r="C374" s="3">
        <v>3568</v>
      </c>
      <c r="D374" s="3">
        <f t="shared" si="15"/>
        <v>3599</v>
      </c>
      <c r="E374" s="5">
        <f t="shared" si="16"/>
        <v>0.49783730989256314</v>
      </c>
      <c r="F374" s="5">
        <f t="shared" si="17"/>
        <v>-7.3591261536008257E-2</v>
      </c>
    </row>
    <row r="375" spans="1:6" x14ac:dyDescent="0.3">
      <c r="A375" s="7">
        <v>43143</v>
      </c>
      <c r="B375" s="3">
        <v>7146</v>
      </c>
      <c r="C375" s="3">
        <v>4615</v>
      </c>
      <c r="D375" s="3">
        <f t="shared" si="15"/>
        <v>2531</v>
      </c>
      <c r="E375" s="5">
        <f t="shared" si="16"/>
        <v>0.64581584102994682</v>
      </c>
      <c r="F375" s="5">
        <f t="shared" si="17"/>
        <v>7.4387269601375428E-2</v>
      </c>
    </row>
    <row r="376" spans="1:6" x14ac:dyDescent="0.3">
      <c r="A376" s="7">
        <v>43150</v>
      </c>
      <c r="B376" s="3">
        <v>7149</v>
      </c>
      <c r="C376" s="3">
        <v>3702</v>
      </c>
      <c r="D376" s="3">
        <f t="shared" si="15"/>
        <v>3447</v>
      </c>
      <c r="E376" s="5">
        <f t="shared" si="16"/>
        <v>0.5178346621905161</v>
      </c>
      <c r="F376" s="5">
        <f t="shared" si="17"/>
        <v>-5.3593909238055293E-2</v>
      </c>
    </row>
    <row r="377" spans="1:6" x14ac:dyDescent="0.3">
      <c r="A377" s="7">
        <v>43157</v>
      </c>
      <c r="B377" s="3">
        <v>7154</v>
      </c>
      <c r="C377" s="3">
        <v>3855</v>
      </c>
      <c r="D377" s="3">
        <f t="shared" si="15"/>
        <v>3299</v>
      </c>
      <c r="E377" s="5">
        <f t="shared" si="16"/>
        <v>0.53885937936818562</v>
      </c>
      <c r="F377" s="5">
        <f t="shared" si="17"/>
        <v>-3.2569192060385777E-2</v>
      </c>
    </row>
    <row r="378" spans="1:6" x14ac:dyDescent="0.3">
      <c r="A378" s="7">
        <v>43164</v>
      </c>
      <c r="B378" s="3">
        <v>7164</v>
      </c>
      <c r="C378" s="3">
        <v>2491</v>
      </c>
      <c r="D378" s="3">
        <f t="shared" si="15"/>
        <v>4673</v>
      </c>
      <c r="E378" s="5">
        <f t="shared" si="16"/>
        <v>0.34771077610273587</v>
      </c>
      <c r="F378" s="5">
        <f t="shared" si="17"/>
        <v>-0.22371779532583552</v>
      </c>
    </row>
    <row r="379" spans="1:6" x14ac:dyDescent="0.3">
      <c r="A379" s="7">
        <v>43171</v>
      </c>
      <c r="B379" s="3">
        <v>7070</v>
      </c>
      <c r="C379" s="3">
        <v>4034</v>
      </c>
      <c r="D379" s="3">
        <f t="shared" si="15"/>
        <v>3036</v>
      </c>
      <c r="E379" s="5">
        <f t="shared" si="16"/>
        <v>0.57057991513437056</v>
      </c>
      <c r="F379" s="5">
        <f t="shared" si="17"/>
        <v>-8.4865629420083355E-4</v>
      </c>
    </row>
    <row r="380" spans="1:6" x14ac:dyDescent="0.3">
      <c r="A380" s="7">
        <v>43178</v>
      </c>
      <c r="B380" s="3">
        <v>7064</v>
      </c>
      <c r="C380" s="3">
        <v>4537</v>
      </c>
      <c r="D380" s="3">
        <f t="shared" si="15"/>
        <v>2527</v>
      </c>
      <c r="E380" s="5">
        <f t="shared" si="16"/>
        <v>0.64227066817667045</v>
      </c>
      <c r="F380" s="5">
        <f t="shared" si="17"/>
        <v>7.0842096748099048E-2</v>
      </c>
    </row>
    <row r="381" spans="1:6" x14ac:dyDescent="0.3">
      <c r="A381" s="7">
        <v>43185</v>
      </c>
      <c r="B381" s="3">
        <v>7052</v>
      </c>
      <c r="C381" s="3">
        <v>3412</v>
      </c>
      <c r="D381" s="3">
        <f t="shared" si="15"/>
        <v>3640</v>
      </c>
      <c r="E381" s="5">
        <f t="shared" si="16"/>
        <v>0.48383437322745321</v>
      </c>
      <c r="F381" s="5">
        <f t="shared" si="17"/>
        <v>-8.759419820111819E-2</v>
      </c>
    </row>
    <row r="382" spans="1:6" x14ac:dyDescent="0.3">
      <c r="A382" s="7">
        <v>43192</v>
      </c>
      <c r="B382" s="3">
        <v>7104</v>
      </c>
      <c r="C382" s="3">
        <v>3089</v>
      </c>
      <c r="D382" s="3">
        <f t="shared" si="15"/>
        <v>4015</v>
      </c>
      <c r="E382" s="5">
        <f t="shared" si="16"/>
        <v>0.43482545045045046</v>
      </c>
      <c r="F382" s="5">
        <f t="shared" si="17"/>
        <v>-0.13660312097812094</v>
      </c>
    </row>
    <row r="383" spans="1:6" x14ac:dyDescent="0.3">
      <c r="A383" s="7">
        <v>43199</v>
      </c>
      <c r="B383" s="3">
        <v>7152</v>
      </c>
      <c r="C383" s="3">
        <v>4532</v>
      </c>
      <c r="D383" s="3">
        <f t="shared" si="15"/>
        <v>2620</v>
      </c>
      <c r="E383" s="5">
        <f t="shared" si="16"/>
        <v>0.63366890380313201</v>
      </c>
      <c r="F383" s="5">
        <f t="shared" si="17"/>
        <v>6.2240332374560614E-2</v>
      </c>
    </row>
    <row r="384" spans="1:6" x14ac:dyDescent="0.3">
      <c r="A384" s="7">
        <v>43206</v>
      </c>
      <c r="B384" s="3">
        <v>7111</v>
      </c>
      <c r="C384" s="3">
        <v>3684</v>
      </c>
      <c r="D384" s="3">
        <f t="shared" si="15"/>
        <v>3427</v>
      </c>
      <c r="E384" s="5">
        <f t="shared" si="16"/>
        <v>0.51807059485304463</v>
      </c>
      <c r="F384" s="5">
        <f t="shared" si="17"/>
        <v>-5.3357976575526767E-2</v>
      </c>
    </row>
    <row r="385" spans="1:6" x14ac:dyDescent="0.3">
      <c r="A385" s="7">
        <v>43213</v>
      </c>
      <c r="B385" s="3">
        <v>7122</v>
      </c>
      <c r="C385" s="3">
        <v>3298</v>
      </c>
      <c r="D385" s="3">
        <f t="shared" si="15"/>
        <v>3824</v>
      </c>
      <c r="E385" s="5">
        <f t="shared" si="16"/>
        <v>0.46307217073855661</v>
      </c>
      <c r="F385" s="5">
        <f t="shared" si="17"/>
        <v>-0.10835640069001479</v>
      </c>
    </row>
    <row r="386" spans="1:6" x14ac:dyDescent="0.3">
      <c r="A386" s="7">
        <v>43220</v>
      </c>
      <c r="B386" s="3">
        <v>7141</v>
      </c>
      <c r="C386" s="3">
        <v>4152</v>
      </c>
      <c r="D386" s="3">
        <f t="shared" si="15"/>
        <v>2989</v>
      </c>
      <c r="E386" s="5">
        <f t="shared" si="16"/>
        <v>0.58143117210474726</v>
      </c>
      <c r="F386" s="5">
        <f t="shared" si="17"/>
        <v>1.0002600676175866E-2</v>
      </c>
    </row>
    <row r="387" spans="1:6" x14ac:dyDescent="0.3">
      <c r="A387" s="7">
        <v>43227</v>
      </c>
      <c r="B387" s="3">
        <v>7129</v>
      </c>
      <c r="C387" s="3">
        <v>4343</v>
      </c>
      <c r="D387" s="3">
        <f t="shared" si="15"/>
        <v>2786</v>
      </c>
      <c r="E387" s="5">
        <f t="shared" si="16"/>
        <v>0.60920185159208862</v>
      </c>
      <c r="F387" s="5">
        <f t="shared" si="17"/>
        <v>3.777328016351722E-2</v>
      </c>
    </row>
    <row r="388" spans="1:6" x14ac:dyDescent="0.3">
      <c r="A388" s="7">
        <v>43234</v>
      </c>
      <c r="B388" s="3">
        <v>7135</v>
      </c>
      <c r="C388" s="3">
        <v>4062</v>
      </c>
      <c r="D388" s="3">
        <f t="shared" si="15"/>
        <v>3073</v>
      </c>
      <c r="E388" s="5">
        <f t="shared" si="16"/>
        <v>0.5693062368605466</v>
      </c>
      <c r="F388" s="5">
        <f t="shared" si="17"/>
        <v>-2.1223345680247974E-3</v>
      </c>
    </row>
    <row r="389" spans="1:6" x14ac:dyDescent="0.3">
      <c r="A389" s="7">
        <v>43241</v>
      </c>
      <c r="B389" s="3">
        <v>7133</v>
      </c>
      <c r="C389" s="3">
        <v>3897</v>
      </c>
      <c r="D389" s="3">
        <f t="shared" si="15"/>
        <v>3236</v>
      </c>
      <c r="E389" s="5">
        <f t="shared" si="16"/>
        <v>0.54633394083835696</v>
      </c>
      <c r="F389" s="5">
        <f t="shared" si="17"/>
        <v>-2.509463059021444E-2</v>
      </c>
    </row>
    <row r="390" spans="1:6" x14ac:dyDescent="0.3">
      <c r="A390" s="7">
        <v>43248</v>
      </c>
      <c r="B390" s="3">
        <v>7127</v>
      </c>
      <c r="C390" s="3">
        <v>4470</v>
      </c>
      <c r="D390" s="3">
        <f t="shared" si="15"/>
        <v>2657</v>
      </c>
      <c r="E390" s="5">
        <f t="shared" si="16"/>
        <v>0.62719236705486181</v>
      </c>
      <c r="F390" s="5">
        <f t="shared" si="17"/>
        <v>5.5763795626290413E-2</v>
      </c>
    </row>
    <row r="391" spans="1:6" x14ac:dyDescent="0.3">
      <c r="A391" s="7">
        <v>43255</v>
      </c>
      <c r="B391" s="3">
        <v>7121</v>
      </c>
      <c r="C391" s="3">
        <v>4829</v>
      </c>
      <c r="D391" s="3">
        <f t="shared" si="15"/>
        <v>2292</v>
      </c>
      <c r="E391" s="5">
        <f t="shared" si="16"/>
        <v>0.67813509338576039</v>
      </c>
      <c r="F391" s="5">
        <f t="shared" si="17"/>
        <v>0.10670652195718899</v>
      </c>
    </row>
    <row r="392" spans="1:6" x14ac:dyDescent="0.3">
      <c r="A392" s="7">
        <v>43262</v>
      </c>
      <c r="B392" s="3">
        <v>7119</v>
      </c>
      <c r="C392" s="3">
        <v>2977</v>
      </c>
      <c r="D392" s="3">
        <f t="shared" si="15"/>
        <v>4142</v>
      </c>
      <c r="E392" s="5">
        <f t="shared" si="16"/>
        <v>0.41817671021210845</v>
      </c>
      <c r="F392" s="5">
        <f t="shared" si="17"/>
        <v>-0.15325186121646295</v>
      </c>
    </row>
    <row r="393" spans="1:6" x14ac:dyDescent="0.3">
      <c r="A393" s="7">
        <v>43269</v>
      </c>
      <c r="B393" s="3">
        <v>7120</v>
      </c>
      <c r="C393" s="3">
        <v>3681</v>
      </c>
      <c r="D393" s="3">
        <f t="shared" ref="D393:D456" si="18">B393-C393</f>
        <v>3439</v>
      </c>
      <c r="E393" s="5">
        <f t="shared" ref="E393:E456" si="19">C393/B393</f>
        <v>0.51699438202247194</v>
      </c>
      <c r="F393" s="5">
        <f t="shared" ref="F393:F456" si="20">E393-$B$6</f>
        <v>-5.4434189406099454E-2</v>
      </c>
    </row>
    <row r="394" spans="1:6" x14ac:dyDescent="0.3">
      <c r="A394" s="7">
        <v>43276</v>
      </c>
      <c r="B394" s="3">
        <v>7139</v>
      </c>
      <c r="C394" s="3">
        <v>3753</v>
      </c>
      <c r="D394" s="3">
        <f t="shared" si="18"/>
        <v>3386</v>
      </c>
      <c r="E394" s="5">
        <f t="shared" si="19"/>
        <v>0.52570388009525149</v>
      </c>
      <c r="F394" s="5">
        <f t="shared" si="20"/>
        <v>-4.5724691333319911E-2</v>
      </c>
    </row>
    <row r="395" spans="1:6" x14ac:dyDescent="0.3">
      <c r="A395" s="7">
        <v>43283</v>
      </c>
      <c r="B395" s="3">
        <v>7095</v>
      </c>
      <c r="C395" s="3">
        <v>4520</v>
      </c>
      <c r="D395" s="3">
        <f t="shared" si="18"/>
        <v>2575</v>
      </c>
      <c r="E395" s="5">
        <f t="shared" si="19"/>
        <v>0.63706835799859052</v>
      </c>
      <c r="F395" s="5">
        <f t="shared" si="20"/>
        <v>6.5639786570019121E-2</v>
      </c>
    </row>
    <row r="396" spans="1:6" x14ac:dyDescent="0.3">
      <c r="A396" s="7">
        <v>43290</v>
      </c>
      <c r="B396" s="3">
        <v>7136</v>
      </c>
      <c r="C396" s="3">
        <v>4196</v>
      </c>
      <c r="D396" s="3">
        <f t="shared" si="18"/>
        <v>2940</v>
      </c>
      <c r="E396" s="5">
        <f t="shared" si="19"/>
        <v>0.58800448430493268</v>
      </c>
      <c r="F396" s="5">
        <f t="shared" si="20"/>
        <v>1.6575912876361287E-2</v>
      </c>
    </row>
    <row r="397" spans="1:6" x14ac:dyDescent="0.3">
      <c r="A397" s="7">
        <v>43297</v>
      </c>
      <c r="B397" s="3">
        <v>7131</v>
      </c>
      <c r="C397" s="3">
        <v>4076</v>
      </c>
      <c r="D397" s="3">
        <f t="shared" si="18"/>
        <v>3055</v>
      </c>
      <c r="E397" s="5">
        <f t="shared" si="19"/>
        <v>0.57158883747020051</v>
      </c>
      <c r="F397" s="5">
        <f t="shared" si="20"/>
        <v>1.6026604162910907E-4</v>
      </c>
    </row>
    <row r="398" spans="1:6" x14ac:dyDescent="0.3">
      <c r="A398" s="7">
        <v>43304</v>
      </c>
      <c r="B398" s="3">
        <v>7135</v>
      </c>
      <c r="C398" s="3">
        <v>3549</v>
      </c>
      <c r="D398" s="3">
        <f t="shared" si="18"/>
        <v>3586</v>
      </c>
      <c r="E398" s="5">
        <f t="shared" si="19"/>
        <v>0.49740714786264889</v>
      </c>
      <c r="F398" s="5">
        <f t="shared" si="20"/>
        <v>-7.4021423565922506E-2</v>
      </c>
    </row>
    <row r="399" spans="1:6" x14ac:dyDescent="0.3">
      <c r="A399" s="7">
        <v>43311</v>
      </c>
      <c r="B399" s="3">
        <v>7087</v>
      </c>
      <c r="C399" s="3">
        <v>4660</v>
      </c>
      <c r="D399" s="3">
        <f t="shared" si="18"/>
        <v>2427</v>
      </c>
      <c r="E399" s="5">
        <f t="shared" si="19"/>
        <v>0.65754197827007199</v>
      </c>
      <c r="F399" s="5">
        <f t="shared" si="20"/>
        <v>8.6113406841500595E-2</v>
      </c>
    </row>
    <row r="400" spans="1:6" x14ac:dyDescent="0.3">
      <c r="A400" s="7">
        <v>43318</v>
      </c>
      <c r="B400" s="3">
        <v>7084</v>
      </c>
      <c r="C400" s="3">
        <v>4171</v>
      </c>
      <c r="D400" s="3">
        <f t="shared" si="18"/>
        <v>2913</v>
      </c>
      <c r="E400" s="5">
        <f t="shared" si="19"/>
        <v>0.58879164313946919</v>
      </c>
      <c r="F400" s="5">
        <f t="shared" si="20"/>
        <v>1.7363071710897793E-2</v>
      </c>
    </row>
    <row r="401" spans="1:6" x14ac:dyDescent="0.3">
      <c r="A401" s="7">
        <v>43325</v>
      </c>
      <c r="B401" s="3">
        <v>7120</v>
      </c>
      <c r="C401" s="3">
        <v>3612</v>
      </c>
      <c r="D401" s="3">
        <f t="shared" si="18"/>
        <v>3508</v>
      </c>
      <c r="E401" s="5">
        <f t="shared" si="19"/>
        <v>0.50730337078651688</v>
      </c>
      <c r="F401" s="5">
        <f t="shared" si="20"/>
        <v>-6.4125200642054514E-2</v>
      </c>
    </row>
    <row r="402" spans="1:6" x14ac:dyDescent="0.3">
      <c r="A402" s="7">
        <v>43332</v>
      </c>
      <c r="B402" s="3">
        <v>7113</v>
      </c>
      <c r="C402" s="3">
        <v>3554</v>
      </c>
      <c r="D402" s="3">
        <f t="shared" si="18"/>
        <v>3559</v>
      </c>
      <c r="E402" s="5">
        <f t="shared" si="19"/>
        <v>0.49964853085899058</v>
      </c>
      <c r="F402" s="5">
        <f t="shared" si="20"/>
        <v>-7.1780040569580816E-2</v>
      </c>
    </row>
    <row r="403" spans="1:6" x14ac:dyDescent="0.3">
      <c r="A403" s="7">
        <v>43339</v>
      </c>
      <c r="B403" s="3">
        <v>7112</v>
      </c>
      <c r="C403" s="3">
        <v>3634</v>
      </c>
      <c r="D403" s="3">
        <f t="shared" si="18"/>
        <v>3478</v>
      </c>
      <c r="E403" s="5">
        <f t="shared" si="19"/>
        <v>0.51096737907761525</v>
      </c>
      <c r="F403" s="5">
        <f t="shared" si="20"/>
        <v>-6.046119235095615E-2</v>
      </c>
    </row>
    <row r="404" spans="1:6" x14ac:dyDescent="0.3">
      <c r="A404" s="7">
        <v>43346</v>
      </c>
      <c r="B404" s="3">
        <v>7049</v>
      </c>
      <c r="C404" s="3">
        <v>3017</v>
      </c>
      <c r="D404" s="3">
        <f t="shared" si="18"/>
        <v>4032</v>
      </c>
      <c r="E404" s="5">
        <f t="shared" si="19"/>
        <v>0.42800397219463754</v>
      </c>
      <c r="F404" s="5">
        <f t="shared" si="20"/>
        <v>-0.14342459923393386</v>
      </c>
    </row>
    <row r="405" spans="1:6" x14ac:dyDescent="0.3">
      <c r="A405" s="7">
        <v>43353</v>
      </c>
      <c r="B405" s="3">
        <v>7012</v>
      </c>
      <c r="C405" s="3">
        <v>3254</v>
      </c>
      <c r="D405" s="3">
        <f t="shared" si="18"/>
        <v>3758</v>
      </c>
      <c r="E405" s="5">
        <f t="shared" si="19"/>
        <v>0.46406160867084995</v>
      </c>
      <c r="F405" s="5">
        <f t="shared" si="20"/>
        <v>-0.10736696275772145</v>
      </c>
    </row>
    <row r="406" spans="1:6" x14ac:dyDescent="0.3">
      <c r="A406" s="7">
        <v>43360</v>
      </c>
      <c r="B406" s="3">
        <v>7072</v>
      </c>
      <c r="C406" s="3">
        <v>3610</v>
      </c>
      <c r="D406" s="3">
        <f t="shared" si="18"/>
        <v>3462</v>
      </c>
      <c r="E406" s="5">
        <f t="shared" si="19"/>
        <v>0.51046380090497734</v>
      </c>
      <c r="F406" s="5">
        <f t="shared" si="20"/>
        <v>-6.0964770523594058E-2</v>
      </c>
    </row>
    <row r="407" spans="1:6" x14ac:dyDescent="0.3">
      <c r="A407" s="7">
        <v>43367</v>
      </c>
      <c r="B407" s="3">
        <v>7095</v>
      </c>
      <c r="C407" s="3">
        <v>4020</v>
      </c>
      <c r="D407" s="3">
        <f t="shared" si="18"/>
        <v>3075</v>
      </c>
      <c r="E407" s="5">
        <f t="shared" si="19"/>
        <v>0.56659619450317122</v>
      </c>
      <c r="F407" s="5">
        <f t="shared" si="20"/>
        <v>-4.8323769254001725E-3</v>
      </c>
    </row>
    <row r="408" spans="1:6" x14ac:dyDescent="0.3">
      <c r="A408" s="7">
        <v>43374</v>
      </c>
      <c r="B408" s="3">
        <v>7084</v>
      </c>
      <c r="C408" s="3">
        <v>4247</v>
      </c>
      <c r="D408" s="3">
        <f t="shared" si="18"/>
        <v>2837</v>
      </c>
      <c r="E408" s="5">
        <f t="shared" si="19"/>
        <v>0.59952004517221913</v>
      </c>
      <c r="F408" s="5">
        <f t="shared" si="20"/>
        <v>2.8091473743647732E-2</v>
      </c>
    </row>
    <row r="409" spans="1:6" x14ac:dyDescent="0.3">
      <c r="A409" s="7">
        <v>43381</v>
      </c>
      <c r="B409" s="3">
        <v>7127</v>
      </c>
      <c r="C409" s="3">
        <v>4466</v>
      </c>
      <c r="D409" s="3">
        <f t="shared" si="18"/>
        <v>2661</v>
      </c>
      <c r="E409" s="5">
        <f t="shared" si="19"/>
        <v>0.62663112108881713</v>
      </c>
      <c r="F409" s="5">
        <f t="shared" si="20"/>
        <v>5.5202549660245737E-2</v>
      </c>
    </row>
    <row r="410" spans="1:6" x14ac:dyDescent="0.3">
      <c r="A410" s="7">
        <v>43388</v>
      </c>
      <c r="B410" s="3">
        <v>7114</v>
      </c>
      <c r="C410" s="3">
        <v>3397</v>
      </c>
      <c r="D410" s="3">
        <f t="shared" si="18"/>
        <v>3717</v>
      </c>
      <c r="E410" s="5">
        <f t="shared" si="19"/>
        <v>0.47750913691312902</v>
      </c>
      <c r="F410" s="5">
        <f t="shared" si="20"/>
        <v>-9.3919434515442379E-2</v>
      </c>
    </row>
    <row r="411" spans="1:6" x14ac:dyDescent="0.3">
      <c r="A411" s="7">
        <v>43395</v>
      </c>
      <c r="B411" s="3">
        <v>7091</v>
      </c>
      <c r="C411" s="3">
        <v>2422</v>
      </c>
      <c r="D411" s="3">
        <f t="shared" si="18"/>
        <v>4669</v>
      </c>
      <c r="E411" s="5">
        <f t="shared" si="19"/>
        <v>0.34155972359328729</v>
      </c>
      <c r="F411" s="5">
        <f t="shared" si="20"/>
        <v>-0.22986884783528411</v>
      </c>
    </row>
    <row r="412" spans="1:6" x14ac:dyDescent="0.3">
      <c r="A412" s="7">
        <v>43402</v>
      </c>
      <c r="B412" s="3">
        <v>7059</v>
      </c>
      <c r="C412" s="3">
        <v>4240</v>
      </c>
      <c r="D412" s="3">
        <f t="shared" si="18"/>
        <v>2819</v>
      </c>
      <c r="E412" s="5">
        <f t="shared" si="19"/>
        <v>0.60065165037540724</v>
      </c>
      <c r="F412" s="5">
        <f t="shared" si="20"/>
        <v>2.9223078946835845E-2</v>
      </c>
    </row>
    <row r="413" spans="1:6" x14ac:dyDescent="0.3">
      <c r="A413" s="7">
        <v>43409</v>
      </c>
      <c r="B413" s="3">
        <v>7154</v>
      </c>
      <c r="C413" s="3">
        <v>4972</v>
      </c>
      <c r="D413" s="3">
        <f t="shared" si="18"/>
        <v>2182</v>
      </c>
      <c r="E413" s="5">
        <f t="shared" si="19"/>
        <v>0.69499580654179482</v>
      </c>
      <c r="F413" s="5">
        <f t="shared" si="20"/>
        <v>0.12356723511322343</v>
      </c>
    </row>
    <row r="414" spans="1:6" x14ac:dyDescent="0.3">
      <c r="A414" s="7">
        <v>43416</v>
      </c>
      <c r="B414" s="3">
        <v>7156</v>
      </c>
      <c r="C414" s="3">
        <v>4180</v>
      </c>
      <c r="D414" s="3">
        <f t="shared" si="18"/>
        <v>2976</v>
      </c>
      <c r="E414" s="5">
        <f t="shared" si="19"/>
        <v>0.58412520961430969</v>
      </c>
      <c r="F414" s="5">
        <f t="shared" si="20"/>
        <v>1.2696638185738296E-2</v>
      </c>
    </row>
    <row r="415" spans="1:6" x14ac:dyDescent="0.3">
      <c r="A415" s="7">
        <v>43423</v>
      </c>
      <c r="B415" s="3">
        <v>7062</v>
      </c>
      <c r="C415" s="3">
        <v>3988</v>
      </c>
      <c r="D415" s="3">
        <f t="shared" si="18"/>
        <v>3074</v>
      </c>
      <c r="E415" s="5">
        <f t="shared" si="19"/>
        <v>0.56471254602095722</v>
      </c>
      <c r="F415" s="5">
        <f t="shared" si="20"/>
        <v>-6.716025407614179E-3</v>
      </c>
    </row>
    <row r="416" spans="1:6" x14ac:dyDescent="0.3">
      <c r="A416" s="7">
        <v>43430</v>
      </c>
      <c r="B416" s="3">
        <v>7112</v>
      </c>
      <c r="C416" s="3">
        <v>4326</v>
      </c>
      <c r="D416" s="3">
        <f t="shared" si="18"/>
        <v>2786</v>
      </c>
      <c r="E416" s="5">
        <f t="shared" si="19"/>
        <v>0.6082677165354331</v>
      </c>
      <c r="F416" s="5">
        <f t="shared" si="20"/>
        <v>3.6839145106861704E-2</v>
      </c>
    </row>
    <row r="417" spans="1:6" x14ac:dyDescent="0.3">
      <c r="A417" s="7">
        <v>43437</v>
      </c>
      <c r="B417" s="3">
        <v>7143</v>
      </c>
      <c r="C417" s="3">
        <v>3656</v>
      </c>
      <c r="D417" s="3">
        <f t="shared" si="18"/>
        <v>3487</v>
      </c>
      <c r="E417" s="5">
        <f t="shared" si="19"/>
        <v>0.51182976340473185</v>
      </c>
      <c r="F417" s="5">
        <f t="shared" si="20"/>
        <v>-5.9598808023839545E-2</v>
      </c>
    </row>
    <row r="418" spans="1:6" x14ac:dyDescent="0.3">
      <c r="A418" s="7">
        <v>43444</v>
      </c>
      <c r="B418" s="3">
        <v>7153</v>
      </c>
      <c r="C418" s="3">
        <v>4527</v>
      </c>
      <c r="D418" s="3">
        <f t="shared" si="18"/>
        <v>2626</v>
      </c>
      <c r="E418" s="5">
        <f t="shared" si="19"/>
        <v>0.63288130854187052</v>
      </c>
      <c r="F418" s="5">
        <f t="shared" si="20"/>
        <v>6.1452737113299127E-2</v>
      </c>
    </row>
    <row r="419" spans="1:6" x14ac:dyDescent="0.3">
      <c r="A419" s="7">
        <v>43451</v>
      </c>
      <c r="B419" s="3">
        <v>7147</v>
      </c>
      <c r="C419" s="3">
        <v>5457</v>
      </c>
      <c r="D419" s="3">
        <f t="shared" si="18"/>
        <v>1690</v>
      </c>
      <c r="E419" s="5">
        <f t="shared" si="19"/>
        <v>0.76353714845389675</v>
      </c>
      <c r="F419" s="5">
        <f t="shared" si="20"/>
        <v>0.19210857702532536</v>
      </c>
    </row>
    <row r="420" spans="1:6" x14ac:dyDescent="0.3">
      <c r="A420" s="7">
        <v>43458</v>
      </c>
      <c r="B420" s="3">
        <v>5183</v>
      </c>
      <c r="C420" s="3">
        <v>2569</v>
      </c>
      <c r="D420" s="3">
        <f t="shared" si="18"/>
        <v>2614</v>
      </c>
      <c r="E420" s="5">
        <f t="shared" si="19"/>
        <v>0.49565888481574377</v>
      </c>
      <c r="F420" s="5">
        <f t="shared" si="20"/>
        <v>-7.5769686612827625E-2</v>
      </c>
    </row>
    <row r="421" spans="1:6" x14ac:dyDescent="0.3">
      <c r="A421" s="7">
        <v>43465</v>
      </c>
      <c r="B421" s="3">
        <v>5166</v>
      </c>
      <c r="C421" s="3">
        <v>3079</v>
      </c>
      <c r="D421" s="3">
        <f t="shared" si="18"/>
        <v>2087</v>
      </c>
      <c r="E421" s="5">
        <f t="shared" si="19"/>
        <v>0.59601238869531548</v>
      </c>
      <c r="F421" s="5">
        <f t="shared" si="20"/>
        <v>2.4583817266744079E-2</v>
      </c>
    </row>
    <row r="422" spans="1:6" x14ac:dyDescent="0.3">
      <c r="A422" s="7">
        <v>43472</v>
      </c>
      <c r="B422" s="3">
        <v>7147</v>
      </c>
      <c r="C422" s="3">
        <v>4456</v>
      </c>
      <c r="D422" s="3">
        <f t="shared" si="18"/>
        <v>2691</v>
      </c>
      <c r="E422" s="5">
        <f t="shared" si="19"/>
        <v>0.62347838253812793</v>
      </c>
      <c r="F422" s="5">
        <f t="shared" si="20"/>
        <v>5.2049811109556532E-2</v>
      </c>
    </row>
    <row r="423" spans="1:6" x14ac:dyDescent="0.3">
      <c r="A423" s="7">
        <v>43479</v>
      </c>
      <c r="B423" s="3">
        <v>7132</v>
      </c>
      <c r="C423" s="3">
        <v>4141</v>
      </c>
      <c r="D423" s="3">
        <f t="shared" si="18"/>
        <v>2991</v>
      </c>
      <c r="E423" s="5">
        <f t="shared" si="19"/>
        <v>0.58062254627033094</v>
      </c>
      <c r="F423" s="5">
        <f t="shared" si="20"/>
        <v>9.1939748417595446E-3</v>
      </c>
    </row>
    <row r="424" spans="1:6" x14ac:dyDescent="0.3">
      <c r="A424" s="7">
        <v>43486</v>
      </c>
      <c r="B424" s="3">
        <v>7132</v>
      </c>
      <c r="C424" s="3">
        <v>3296</v>
      </c>
      <c r="D424" s="3">
        <f t="shared" si="18"/>
        <v>3836</v>
      </c>
      <c r="E424" s="5">
        <f t="shared" si="19"/>
        <v>0.4621424565339316</v>
      </c>
      <c r="F424" s="5">
        <f t="shared" si="20"/>
        <v>-0.1092861148946398</v>
      </c>
    </row>
    <row r="425" spans="1:6" x14ac:dyDescent="0.3">
      <c r="A425" s="7">
        <v>43493</v>
      </c>
      <c r="B425" s="3">
        <v>7146</v>
      </c>
      <c r="C425" s="3">
        <v>2655</v>
      </c>
      <c r="D425" s="3">
        <f t="shared" si="18"/>
        <v>4491</v>
      </c>
      <c r="E425" s="5">
        <f t="shared" si="19"/>
        <v>0.37153652392947101</v>
      </c>
      <c r="F425" s="5">
        <f t="shared" si="20"/>
        <v>-0.19989204749910039</v>
      </c>
    </row>
    <row r="426" spans="1:6" x14ac:dyDescent="0.3">
      <c r="A426" s="7">
        <v>43500</v>
      </c>
      <c r="B426" s="3">
        <v>7108</v>
      </c>
      <c r="C426" s="3">
        <v>6796</v>
      </c>
      <c r="D426" s="3">
        <f t="shared" si="18"/>
        <v>312</v>
      </c>
      <c r="E426" s="5">
        <f t="shared" si="19"/>
        <v>0.95610579628587511</v>
      </c>
      <c r="F426" s="5">
        <f t="shared" si="20"/>
        <v>0.38467722485730371</v>
      </c>
    </row>
    <row r="427" spans="1:6" x14ac:dyDescent="0.3">
      <c r="A427" s="7">
        <v>43507</v>
      </c>
      <c r="B427" s="3">
        <v>7116</v>
      </c>
      <c r="C427" s="3">
        <v>4300</v>
      </c>
      <c r="D427" s="3">
        <f t="shared" si="18"/>
        <v>2816</v>
      </c>
      <c r="E427" s="5">
        <f t="shared" si="19"/>
        <v>0.6042720629567172</v>
      </c>
      <c r="F427" s="5">
        <f t="shared" si="20"/>
        <v>3.2843491528145807E-2</v>
      </c>
    </row>
    <row r="428" spans="1:6" x14ac:dyDescent="0.3">
      <c r="A428" s="7">
        <v>43514</v>
      </c>
      <c r="B428" s="3">
        <v>7096</v>
      </c>
      <c r="C428" s="3">
        <v>2117</v>
      </c>
      <c r="D428" s="3">
        <f t="shared" si="18"/>
        <v>4979</v>
      </c>
      <c r="E428" s="5">
        <f t="shared" si="19"/>
        <v>0.298337091319053</v>
      </c>
      <c r="F428" s="5">
        <f t="shared" si="20"/>
        <v>-0.27309148010951839</v>
      </c>
    </row>
    <row r="429" spans="1:6" x14ac:dyDescent="0.3">
      <c r="A429" s="7">
        <v>43521</v>
      </c>
      <c r="B429" s="3">
        <v>7106</v>
      </c>
      <c r="C429" s="3">
        <v>2990</v>
      </c>
      <c r="D429" s="3">
        <f t="shared" si="18"/>
        <v>4116</v>
      </c>
      <c r="E429" s="5">
        <f t="shared" si="19"/>
        <v>0.42077117928511115</v>
      </c>
      <c r="F429" s="5">
        <f t="shared" si="20"/>
        <v>-0.15065739214346024</v>
      </c>
    </row>
    <row r="430" spans="1:6" x14ac:dyDescent="0.3">
      <c r="A430" s="7">
        <v>43528</v>
      </c>
      <c r="B430" s="3">
        <v>7127</v>
      </c>
      <c r="C430" s="3">
        <v>5825</v>
      </c>
      <c r="D430" s="3">
        <f t="shared" si="18"/>
        <v>1302</v>
      </c>
      <c r="E430" s="5">
        <f t="shared" si="19"/>
        <v>0.8173144380524765</v>
      </c>
      <c r="F430" s="5">
        <f t="shared" si="20"/>
        <v>0.2458858666239051</v>
      </c>
    </row>
    <row r="431" spans="1:6" x14ac:dyDescent="0.3">
      <c r="A431" s="7">
        <v>43535</v>
      </c>
      <c r="B431" s="3">
        <v>7040</v>
      </c>
      <c r="C431" s="3">
        <v>5333</v>
      </c>
      <c r="D431" s="3">
        <f t="shared" si="18"/>
        <v>1707</v>
      </c>
      <c r="E431" s="5">
        <f t="shared" si="19"/>
        <v>0.75752840909090913</v>
      </c>
      <c r="F431" s="5">
        <f t="shared" si="20"/>
        <v>0.18609983766233773</v>
      </c>
    </row>
    <row r="432" spans="1:6" x14ac:dyDescent="0.3">
      <c r="A432" s="7">
        <v>43542</v>
      </c>
      <c r="B432" s="3">
        <v>7042</v>
      </c>
      <c r="C432" s="3">
        <v>5330</v>
      </c>
      <c r="D432" s="3">
        <f t="shared" si="18"/>
        <v>1712</v>
      </c>
      <c r="E432" s="5">
        <f t="shared" si="19"/>
        <v>0.75688724794092588</v>
      </c>
      <c r="F432" s="5">
        <f t="shared" si="20"/>
        <v>0.18545867651235448</v>
      </c>
    </row>
    <row r="433" spans="1:6" x14ac:dyDescent="0.3">
      <c r="A433" s="7">
        <v>43549</v>
      </c>
      <c r="B433" s="3">
        <v>7075</v>
      </c>
      <c r="C433" s="3">
        <v>4061</v>
      </c>
      <c r="D433" s="3">
        <f t="shared" si="18"/>
        <v>3014</v>
      </c>
      <c r="E433" s="5">
        <f t="shared" si="19"/>
        <v>0.57399293286219077</v>
      </c>
      <c r="F433" s="5">
        <f t="shared" si="20"/>
        <v>2.5643614336193776E-3</v>
      </c>
    </row>
    <row r="434" spans="1:6" x14ac:dyDescent="0.3">
      <c r="A434" s="7">
        <v>43556</v>
      </c>
      <c r="B434" s="3">
        <v>7051</v>
      </c>
      <c r="C434" s="3">
        <v>3766</v>
      </c>
      <c r="D434" s="3">
        <f t="shared" si="18"/>
        <v>3285</v>
      </c>
      <c r="E434" s="5">
        <f t="shared" si="19"/>
        <v>0.53410863707275569</v>
      </c>
      <c r="F434" s="5">
        <f t="shared" si="20"/>
        <v>-3.7319934355815709E-2</v>
      </c>
    </row>
    <row r="435" spans="1:6" x14ac:dyDescent="0.3">
      <c r="A435" s="7">
        <v>43563</v>
      </c>
      <c r="B435" s="3">
        <v>7038</v>
      </c>
      <c r="C435" s="3">
        <v>2345</v>
      </c>
      <c r="D435" s="3">
        <f t="shared" si="18"/>
        <v>4693</v>
      </c>
      <c r="E435" s="5">
        <f t="shared" si="19"/>
        <v>0.33319124751349816</v>
      </c>
      <c r="F435" s="5">
        <f t="shared" si="20"/>
        <v>-0.23823732391507324</v>
      </c>
    </row>
    <row r="436" spans="1:6" x14ac:dyDescent="0.3">
      <c r="A436" s="7">
        <v>43570</v>
      </c>
      <c r="B436" s="3">
        <v>6865</v>
      </c>
      <c r="C436" s="3">
        <v>4123</v>
      </c>
      <c r="D436" s="3">
        <f t="shared" si="18"/>
        <v>2742</v>
      </c>
      <c r="E436" s="5">
        <f t="shared" si="19"/>
        <v>0.60058266569555718</v>
      </c>
      <c r="F436" s="5">
        <f t="shared" si="20"/>
        <v>2.9154094266985786E-2</v>
      </c>
    </row>
    <row r="437" spans="1:6" x14ac:dyDescent="0.3">
      <c r="A437" s="7">
        <v>43577</v>
      </c>
      <c r="B437" s="3">
        <v>6993</v>
      </c>
      <c r="C437" s="3">
        <v>4157</v>
      </c>
      <c r="D437" s="3">
        <f t="shared" si="18"/>
        <v>2836</v>
      </c>
      <c r="E437" s="5">
        <f t="shared" si="19"/>
        <v>0.59445159445159446</v>
      </c>
      <c r="F437" s="5">
        <f t="shared" si="20"/>
        <v>2.3023023023023059E-2</v>
      </c>
    </row>
    <row r="438" spans="1:6" x14ac:dyDescent="0.3">
      <c r="A438" s="7">
        <v>43584</v>
      </c>
      <c r="B438" s="3">
        <v>6958</v>
      </c>
      <c r="C438" s="3">
        <v>3786</v>
      </c>
      <c r="D438" s="3">
        <f t="shared" si="18"/>
        <v>3172</v>
      </c>
      <c r="E438" s="5">
        <f t="shared" si="19"/>
        <v>0.54412187410175339</v>
      </c>
      <c r="F438" s="5">
        <f t="shared" si="20"/>
        <v>-2.7306697326818008E-2</v>
      </c>
    </row>
    <row r="439" spans="1:6" x14ac:dyDescent="0.3">
      <c r="A439" s="7">
        <v>43591</v>
      </c>
      <c r="B439" s="3">
        <v>7123</v>
      </c>
      <c r="C439" s="3">
        <v>1934</v>
      </c>
      <c r="D439" s="3">
        <f t="shared" si="18"/>
        <v>5189</v>
      </c>
      <c r="E439" s="5">
        <f t="shared" si="19"/>
        <v>0.27151481117506671</v>
      </c>
      <c r="F439" s="5">
        <f t="shared" si="20"/>
        <v>-0.29991376025350469</v>
      </c>
    </row>
    <row r="440" spans="1:6" x14ac:dyDescent="0.3">
      <c r="A440" s="7">
        <v>43598</v>
      </c>
      <c r="B440" s="3">
        <v>7046</v>
      </c>
      <c r="C440" s="3">
        <v>4999</v>
      </c>
      <c r="D440" s="3">
        <f t="shared" si="18"/>
        <v>2047</v>
      </c>
      <c r="E440" s="5">
        <f t="shared" si="19"/>
        <v>0.70948055634402496</v>
      </c>
      <c r="F440" s="5">
        <f t="shared" si="20"/>
        <v>0.13805198491545356</v>
      </c>
    </row>
    <row r="441" spans="1:6" x14ac:dyDescent="0.3">
      <c r="A441" s="7">
        <v>43605</v>
      </c>
      <c r="B441" s="3">
        <v>7029</v>
      </c>
      <c r="C441" s="3">
        <v>2027</v>
      </c>
      <c r="D441" s="3">
        <f t="shared" si="18"/>
        <v>5002</v>
      </c>
      <c r="E441" s="5">
        <f t="shared" si="19"/>
        <v>0.28837672499644329</v>
      </c>
      <c r="F441" s="5">
        <f t="shared" si="20"/>
        <v>-0.28305184643212811</v>
      </c>
    </row>
    <row r="442" spans="1:6" x14ac:dyDescent="0.3">
      <c r="A442" s="7">
        <v>43612</v>
      </c>
      <c r="B442" s="3">
        <v>6932</v>
      </c>
      <c r="C442" s="3">
        <v>5196</v>
      </c>
      <c r="D442" s="3">
        <f t="shared" si="18"/>
        <v>1736</v>
      </c>
      <c r="E442" s="5">
        <f t="shared" si="19"/>
        <v>0.74956722446624346</v>
      </c>
      <c r="F442" s="5">
        <f t="shared" si="20"/>
        <v>0.17813865303767207</v>
      </c>
    </row>
    <row r="443" spans="1:6" x14ac:dyDescent="0.3">
      <c r="A443" s="7">
        <v>43619</v>
      </c>
      <c r="B443" s="3">
        <v>7081</v>
      </c>
      <c r="C443" s="3">
        <v>3286</v>
      </c>
      <c r="D443" s="3">
        <f t="shared" si="18"/>
        <v>3795</v>
      </c>
      <c r="E443" s="5">
        <f t="shared" si="19"/>
        <v>0.46405874876429881</v>
      </c>
      <c r="F443" s="5">
        <f t="shared" si="20"/>
        <v>-0.10736982266427259</v>
      </c>
    </row>
    <row r="444" spans="1:6" x14ac:dyDescent="0.3">
      <c r="A444" s="7">
        <v>43626</v>
      </c>
      <c r="B444" s="3">
        <v>7023</v>
      </c>
      <c r="C444" s="3">
        <v>4193</v>
      </c>
      <c r="D444" s="3">
        <f t="shared" si="18"/>
        <v>2830</v>
      </c>
      <c r="E444" s="5">
        <f t="shared" si="19"/>
        <v>0.59703830271963554</v>
      </c>
      <c r="F444" s="5">
        <f t="shared" si="20"/>
        <v>2.5609731291064142E-2</v>
      </c>
    </row>
    <row r="445" spans="1:6" x14ac:dyDescent="0.3">
      <c r="A445" s="7">
        <v>43633</v>
      </c>
      <c r="B445" s="3">
        <v>7035</v>
      </c>
      <c r="C445" s="3">
        <v>4887</v>
      </c>
      <c r="D445" s="3">
        <f t="shared" si="18"/>
        <v>2148</v>
      </c>
      <c r="E445" s="5">
        <f t="shared" si="19"/>
        <v>0.69466950959488272</v>
      </c>
      <c r="F445" s="5">
        <f t="shared" si="20"/>
        <v>0.12324093816631132</v>
      </c>
    </row>
    <row r="446" spans="1:6" x14ac:dyDescent="0.3">
      <c r="A446" s="7">
        <v>43640</v>
      </c>
      <c r="B446" s="3">
        <v>7086</v>
      </c>
      <c r="C446" s="3">
        <v>2820</v>
      </c>
      <c r="D446" s="3">
        <f t="shared" si="18"/>
        <v>4266</v>
      </c>
      <c r="E446" s="5">
        <f t="shared" si="19"/>
        <v>0.39796782387806945</v>
      </c>
      <c r="F446" s="5">
        <f t="shared" si="20"/>
        <v>-0.17346074755050195</v>
      </c>
    </row>
    <row r="447" spans="1:6" x14ac:dyDescent="0.3">
      <c r="A447" s="7">
        <v>43647</v>
      </c>
      <c r="B447" s="3">
        <v>6988</v>
      </c>
      <c r="C447" s="3">
        <v>4158</v>
      </c>
      <c r="D447" s="3">
        <f t="shared" si="18"/>
        <v>2830</v>
      </c>
      <c r="E447" s="5">
        <f t="shared" si="19"/>
        <v>0.59502003434459072</v>
      </c>
      <c r="F447" s="5">
        <f t="shared" si="20"/>
        <v>2.3591462916019323E-2</v>
      </c>
    </row>
    <row r="448" spans="1:6" x14ac:dyDescent="0.3">
      <c r="A448" s="7">
        <v>43654</v>
      </c>
      <c r="B448" s="3">
        <v>7021</v>
      </c>
      <c r="C448" s="3">
        <v>3361</v>
      </c>
      <c r="D448" s="3">
        <f t="shared" si="18"/>
        <v>3660</v>
      </c>
      <c r="E448" s="5">
        <f t="shared" si="19"/>
        <v>0.47870673693206095</v>
      </c>
      <c r="F448" s="5">
        <f t="shared" si="20"/>
        <v>-9.2721834496510447E-2</v>
      </c>
    </row>
    <row r="449" spans="1:6" x14ac:dyDescent="0.3">
      <c r="A449" s="7">
        <v>43661</v>
      </c>
      <c r="B449" s="3">
        <v>7035</v>
      </c>
      <c r="C449" s="3">
        <v>5721</v>
      </c>
      <c r="D449" s="3">
        <f t="shared" si="18"/>
        <v>1314</v>
      </c>
      <c r="E449" s="5">
        <f t="shared" si="19"/>
        <v>0.81321961620469085</v>
      </c>
      <c r="F449" s="5">
        <f t="shared" si="20"/>
        <v>0.24179104477611946</v>
      </c>
    </row>
    <row r="450" spans="1:6" x14ac:dyDescent="0.3">
      <c r="A450" s="7">
        <v>43668</v>
      </c>
      <c r="B450" s="3">
        <v>7012</v>
      </c>
      <c r="C450" s="3">
        <v>3819</v>
      </c>
      <c r="D450" s="3">
        <f t="shared" si="18"/>
        <v>3193</v>
      </c>
      <c r="E450" s="5">
        <f t="shared" si="19"/>
        <v>0.54463776383342843</v>
      </c>
      <c r="F450" s="5">
        <f t="shared" si="20"/>
        <v>-2.6790807595142963E-2</v>
      </c>
    </row>
    <row r="451" spans="1:6" x14ac:dyDescent="0.3">
      <c r="A451" s="7">
        <v>43675</v>
      </c>
      <c r="B451" s="3">
        <v>7069</v>
      </c>
      <c r="C451" s="3">
        <v>4724</v>
      </c>
      <c r="D451" s="3">
        <f t="shared" si="18"/>
        <v>2345</v>
      </c>
      <c r="E451" s="5">
        <f t="shared" si="19"/>
        <v>0.66826991087848353</v>
      </c>
      <c r="F451" s="5">
        <f t="shared" si="20"/>
        <v>9.6841339449912134E-2</v>
      </c>
    </row>
    <row r="452" spans="1:6" x14ac:dyDescent="0.3">
      <c r="A452" s="7">
        <v>43682</v>
      </c>
      <c r="B452" s="3">
        <v>7137</v>
      </c>
      <c r="C452" s="3">
        <v>2569</v>
      </c>
      <c r="D452" s="3">
        <f t="shared" si="18"/>
        <v>4568</v>
      </c>
      <c r="E452" s="5">
        <f t="shared" si="19"/>
        <v>0.35995516323385174</v>
      </c>
      <c r="F452" s="5">
        <f t="shared" si="20"/>
        <v>-0.21147340819471966</v>
      </c>
    </row>
    <row r="453" spans="1:6" x14ac:dyDescent="0.3">
      <c r="A453" s="7">
        <v>43689</v>
      </c>
      <c r="B453" s="3">
        <v>7096</v>
      </c>
      <c r="C453" s="3">
        <v>4360</v>
      </c>
      <c r="D453" s="3">
        <f t="shared" si="18"/>
        <v>2736</v>
      </c>
      <c r="E453" s="5">
        <f t="shared" si="19"/>
        <v>0.61443066516347233</v>
      </c>
      <c r="F453" s="5">
        <f t="shared" si="20"/>
        <v>4.3002093734900937E-2</v>
      </c>
    </row>
    <row r="454" spans="1:6" x14ac:dyDescent="0.3">
      <c r="A454" s="7">
        <v>43696</v>
      </c>
      <c r="B454" s="3">
        <v>7001</v>
      </c>
      <c r="C454" s="3">
        <v>1408</v>
      </c>
      <c r="D454" s="3">
        <f t="shared" si="18"/>
        <v>5593</v>
      </c>
      <c r="E454" s="5">
        <f t="shared" si="19"/>
        <v>0.20111412655334951</v>
      </c>
      <c r="F454" s="5">
        <f t="shared" si="20"/>
        <v>-0.37031444487522192</v>
      </c>
    </row>
    <row r="455" spans="1:6" x14ac:dyDescent="0.3">
      <c r="A455" s="7">
        <v>43703</v>
      </c>
      <c r="B455" s="3">
        <v>7046</v>
      </c>
      <c r="C455" s="3">
        <v>6750</v>
      </c>
      <c r="D455" s="3">
        <f t="shared" si="18"/>
        <v>296</v>
      </c>
      <c r="E455" s="5">
        <f t="shared" si="19"/>
        <v>0.95799034913426062</v>
      </c>
      <c r="F455" s="5">
        <f t="shared" si="20"/>
        <v>0.38656177770568922</v>
      </c>
    </row>
    <row r="456" spans="1:6" x14ac:dyDescent="0.3">
      <c r="A456" s="7">
        <v>43710</v>
      </c>
      <c r="B456" s="3">
        <v>6982</v>
      </c>
      <c r="C456" s="3">
        <v>3933</v>
      </c>
      <c r="D456" s="3">
        <f t="shared" si="18"/>
        <v>3049</v>
      </c>
      <c r="E456" s="5">
        <f t="shared" si="19"/>
        <v>0.56330564308221143</v>
      </c>
      <c r="F456" s="5">
        <f t="shared" si="20"/>
        <v>-8.12292834635997E-3</v>
      </c>
    </row>
    <row r="457" spans="1:6" x14ac:dyDescent="0.3">
      <c r="A457" s="7">
        <v>43717</v>
      </c>
      <c r="B457" s="3">
        <v>7089</v>
      </c>
      <c r="C457" s="3">
        <v>4737</v>
      </c>
      <c r="D457" s="3">
        <f t="shared" ref="D457:D520" si="21">B457-C457</f>
        <v>2352</v>
      </c>
      <c r="E457" s="5">
        <f t="shared" ref="E457:E520" si="22">C457/B457</f>
        <v>0.66821836648328392</v>
      </c>
      <c r="F457" s="5">
        <f t="shared" ref="F457:F520" si="23">E457-$B$6</f>
        <v>9.6789795054712524E-2</v>
      </c>
    </row>
    <row r="458" spans="1:6" x14ac:dyDescent="0.3">
      <c r="A458" s="7">
        <v>43724</v>
      </c>
      <c r="B458" s="3">
        <v>7140</v>
      </c>
      <c r="C458" s="3">
        <v>5049</v>
      </c>
      <c r="D458" s="3">
        <f t="shared" si="21"/>
        <v>2091</v>
      </c>
      <c r="E458" s="5">
        <f t="shared" si="22"/>
        <v>0.70714285714285718</v>
      </c>
      <c r="F458" s="5">
        <f t="shared" si="23"/>
        <v>0.13571428571428579</v>
      </c>
    </row>
    <row r="459" spans="1:6" x14ac:dyDescent="0.3">
      <c r="A459" s="7">
        <v>43731</v>
      </c>
      <c r="B459" s="3">
        <v>7098</v>
      </c>
      <c r="C459" s="3">
        <v>3176</v>
      </c>
      <c r="D459" s="3">
        <f t="shared" si="21"/>
        <v>3922</v>
      </c>
      <c r="E459" s="5">
        <f t="shared" si="22"/>
        <v>0.44744998591152435</v>
      </c>
      <c r="F459" s="5">
        <f t="shared" si="23"/>
        <v>-0.12397858551704705</v>
      </c>
    </row>
    <row r="460" spans="1:6" x14ac:dyDescent="0.3">
      <c r="A460" s="7">
        <v>43738</v>
      </c>
      <c r="B460" s="3">
        <v>7078</v>
      </c>
      <c r="C460" s="3">
        <v>3418</v>
      </c>
      <c r="D460" s="3">
        <f t="shared" si="21"/>
        <v>3660</v>
      </c>
      <c r="E460" s="5">
        <f t="shared" si="22"/>
        <v>0.48290477536027127</v>
      </c>
      <c r="F460" s="5">
        <f t="shared" si="23"/>
        <v>-8.8523796068300131E-2</v>
      </c>
    </row>
    <row r="461" spans="1:6" x14ac:dyDescent="0.3">
      <c r="A461" s="7">
        <v>43745</v>
      </c>
      <c r="B461" s="3">
        <v>7079</v>
      </c>
      <c r="C461" s="3">
        <v>3557</v>
      </c>
      <c r="D461" s="3">
        <f t="shared" si="21"/>
        <v>3522</v>
      </c>
      <c r="E461" s="5">
        <f t="shared" si="22"/>
        <v>0.5024721005791779</v>
      </c>
      <c r="F461" s="5">
        <f t="shared" si="23"/>
        <v>-6.8956470849393492E-2</v>
      </c>
    </row>
    <row r="462" spans="1:6" x14ac:dyDescent="0.3">
      <c r="A462" s="7">
        <v>43752</v>
      </c>
      <c r="B462" s="3">
        <v>7096</v>
      </c>
      <c r="C462" s="3">
        <v>4164</v>
      </c>
      <c r="D462" s="3">
        <f t="shared" si="21"/>
        <v>2932</v>
      </c>
      <c r="E462" s="5">
        <f t="shared" si="22"/>
        <v>0.58680947012401352</v>
      </c>
      <c r="F462" s="5">
        <f t="shared" si="23"/>
        <v>1.5380898695442125E-2</v>
      </c>
    </row>
    <row r="463" spans="1:6" x14ac:dyDescent="0.3">
      <c r="A463" s="7">
        <v>43759</v>
      </c>
      <c r="B463" s="3">
        <v>7066</v>
      </c>
      <c r="C463" s="3">
        <v>2196</v>
      </c>
      <c r="D463" s="3">
        <f t="shared" si="21"/>
        <v>4870</v>
      </c>
      <c r="E463" s="5">
        <f t="shared" si="22"/>
        <v>0.31078403622983303</v>
      </c>
      <c r="F463" s="5">
        <f t="shared" si="23"/>
        <v>-0.26064453519873837</v>
      </c>
    </row>
    <row r="464" spans="1:6" x14ac:dyDescent="0.3">
      <c r="A464" s="7">
        <v>43766</v>
      </c>
      <c r="B464" s="3">
        <v>6996</v>
      </c>
      <c r="C464" s="3">
        <v>3042</v>
      </c>
      <c r="D464" s="3">
        <f t="shared" si="21"/>
        <v>3954</v>
      </c>
      <c r="E464" s="5">
        <f t="shared" si="22"/>
        <v>0.434819897084048</v>
      </c>
      <c r="F464" s="5">
        <f t="shared" si="23"/>
        <v>-0.1366086743445234</v>
      </c>
    </row>
    <row r="465" spans="1:6" x14ac:dyDescent="0.3">
      <c r="A465" s="7">
        <v>43773</v>
      </c>
      <c r="B465" s="3">
        <v>7093</v>
      </c>
      <c r="C465" s="3">
        <v>5066</v>
      </c>
      <c r="D465" s="3">
        <f t="shared" si="21"/>
        <v>2027</v>
      </c>
      <c r="E465" s="5">
        <f t="shared" si="22"/>
        <v>0.71422529254194278</v>
      </c>
      <c r="F465" s="5">
        <f t="shared" si="23"/>
        <v>0.14279672111337138</v>
      </c>
    </row>
    <row r="466" spans="1:6" x14ac:dyDescent="0.3">
      <c r="A466" s="7">
        <v>43780</v>
      </c>
      <c r="B466" s="3">
        <v>7039</v>
      </c>
      <c r="C466" s="3">
        <v>3125</v>
      </c>
      <c r="D466" s="3">
        <f t="shared" si="21"/>
        <v>3914</v>
      </c>
      <c r="E466" s="5">
        <f t="shared" si="22"/>
        <v>0.44395510725955389</v>
      </c>
      <c r="F466" s="5">
        <f t="shared" si="23"/>
        <v>-0.1274734641690175</v>
      </c>
    </row>
    <row r="467" spans="1:6" x14ac:dyDescent="0.3">
      <c r="A467" s="7">
        <v>43787</v>
      </c>
      <c r="B467" s="3">
        <v>6901</v>
      </c>
      <c r="C467" s="3">
        <v>2271</v>
      </c>
      <c r="D467" s="3">
        <f t="shared" si="21"/>
        <v>4630</v>
      </c>
      <c r="E467" s="5">
        <f t="shared" si="22"/>
        <v>0.32908274163164758</v>
      </c>
      <c r="F467" s="5">
        <f t="shared" si="23"/>
        <v>-0.24234582979692382</v>
      </c>
    </row>
    <row r="468" spans="1:6" x14ac:dyDescent="0.3">
      <c r="A468" s="7">
        <v>43794</v>
      </c>
      <c r="B468" s="3">
        <v>7025</v>
      </c>
      <c r="C468" s="3">
        <v>862</v>
      </c>
      <c r="D468" s="3">
        <f t="shared" si="21"/>
        <v>6163</v>
      </c>
      <c r="E468" s="5">
        <f t="shared" si="22"/>
        <v>0.12270462633451958</v>
      </c>
      <c r="F468" s="5">
        <f t="shared" si="23"/>
        <v>-0.44872394509405183</v>
      </c>
    </row>
    <row r="469" spans="1:6" x14ac:dyDescent="0.3">
      <c r="A469" s="7">
        <v>43801</v>
      </c>
      <c r="B469" s="3">
        <v>7028</v>
      </c>
      <c r="C469" s="3">
        <v>3106</v>
      </c>
      <c r="D469" s="3">
        <f t="shared" si="21"/>
        <v>3922</v>
      </c>
      <c r="E469" s="5">
        <f t="shared" si="22"/>
        <v>0.44194649971542399</v>
      </c>
      <c r="F469" s="5">
        <f t="shared" si="23"/>
        <v>-0.12948207171314741</v>
      </c>
    </row>
    <row r="470" spans="1:6" x14ac:dyDescent="0.3">
      <c r="A470" s="7">
        <v>43808</v>
      </c>
      <c r="B470" s="3">
        <v>7062</v>
      </c>
      <c r="C470" s="3">
        <v>5023</v>
      </c>
      <c r="D470" s="3">
        <f t="shared" si="21"/>
        <v>2039</v>
      </c>
      <c r="E470" s="5">
        <f t="shared" si="22"/>
        <v>0.71127159444916455</v>
      </c>
      <c r="F470" s="5">
        <f t="shared" si="23"/>
        <v>0.13984302302059315</v>
      </c>
    </row>
    <row r="471" spans="1:6" x14ac:dyDescent="0.3">
      <c r="A471" s="7">
        <v>43815</v>
      </c>
      <c r="B471" s="3">
        <v>7096</v>
      </c>
      <c r="C471" s="3">
        <v>3729</v>
      </c>
      <c r="D471" s="3">
        <f t="shared" si="21"/>
        <v>3367</v>
      </c>
      <c r="E471" s="5">
        <f t="shared" si="22"/>
        <v>0.52550732807215328</v>
      </c>
      <c r="F471" s="5">
        <f t="shared" si="23"/>
        <v>-4.5921243356418118E-2</v>
      </c>
    </row>
    <row r="472" spans="1:6" x14ac:dyDescent="0.3">
      <c r="A472" s="7">
        <v>43822</v>
      </c>
      <c r="B472" s="3">
        <v>5022</v>
      </c>
      <c r="C472" s="3">
        <v>4484</v>
      </c>
      <c r="D472" s="3">
        <f t="shared" si="21"/>
        <v>538</v>
      </c>
      <c r="E472" s="5">
        <f t="shared" si="22"/>
        <v>0.89287136598964556</v>
      </c>
      <c r="F472" s="5">
        <f t="shared" si="23"/>
        <v>0.32144279456107416</v>
      </c>
    </row>
    <row r="473" spans="1:6" x14ac:dyDescent="0.3">
      <c r="A473" s="7">
        <v>43829</v>
      </c>
      <c r="B473" s="3">
        <v>5141</v>
      </c>
      <c r="C473" s="3">
        <v>1785</v>
      </c>
      <c r="D473" s="3">
        <f t="shared" si="21"/>
        <v>3356</v>
      </c>
      <c r="E473" s="5">
        <f t="shared" si="22"/>
        <v>0.34720871425792649</v>
      </c>
      <c r="F473" s="5">
        <f t="shared" si="23"/>
        <v>-0.22421985717064491</v>
      </c>
    </row>
    <row r="474" spans="1:6" x14ac:dyDescent="0.3">
      <c r="A474" s="7">
        <v>43836</v>
      </c>
      <c r="B474" s="3">
        <v>7053</v>
      </c>
      <c r="C474" s="3">
        <v>3424</v>
      </c>
      <c r="D474" s="3">
        <f t="shared" si="21"/>
        <v>3629</v>
      </c>
      <c r="E474" s="5">
        <f t="shared" si="22"/>
        <v>0.48546717708776405</v>
      </c>
      <c r="F474" s="5">
        <f t="shared" si="23"/>
        <v>-8.5961394340807351E-2</v>
      </c>
    </row>
    <row r="475" spans="1:6" x14ac:dyDescent="0.3">
      <c r="A475" s="7">
        <v>43843</v>
      </c>
      <c r="B475" s="3">
        <v>6980</v>
      </c>
      <c r="C475" s="3">
        <v>3013</v>
      </c>
      <c r="D475" s="3">
        <f t="shared" si="21"/>
        <v>3967</v>
      </c>
      <c r="E475" s="5">
        <f t="shared" si="22"/>
        <v>0.43166189111747849</v>
      </c>
      <c r="F475" s="5">
        <f t="shared" si="23"/>
        <v>-0.13976668031109291</v>
      </c>
    </row>
    <row r="476" spans="1:6" x14ac:dyDescent="0.3">
      <c r="A476" s="7">
        <v>43850</v>
      </c>
      <c r="B476" s="3">
        <v>6987</v>
      </c>
      <c r="C476" s="3">
        <v>2573</v>
      </c>
      <c r="D476" s="3">
        <f t="shared" si="21"/>
        <v>4414</v>
      </c>
      <c r="E476" s="5">
        <f t="shared" si="22"/>
        <v>0.36825533132961213</v>
      </c>
      <c r="F476" s="5">
        <f t="shared" si="23"/>
        <v>-0.20317324009895926</v>
      </c>
    </row>
    <row r="477" spans="1:6" x14ac:dyDescent="0.3">
      <c r="A477" s="7">
        <v>43857</v>
      </c>
      <c r="B477" s="3">
        <v>6982</v>
      </c>
      <c r="C477" s="3">
        <v>3904</v>
      </c>
      <c r="D477" s="3">
        <f t="shared" si="21"/>
        <v>3078</v>
      </c>
      <c r="E477" s="5">
        <f t="shared" si="22"/>
        <v>0.55915210541392146</v>
      </c>
      <c r="F477" s="5">
        <f t="shared" si="23"/>
        <v>-1.2276466014649934E-2</v>
      </c>
    </row>
    <row r="478" spans="1:6" x14ac:dyDescent="0.3">
      <c r="A478" s="7">
        <v>43864</v>
      </c>
      <c r="B478" s="3">
        <v>6972</v>
      </c>
      <c r="C478" s="3">
        <v>6788</v>
      </c>
      <c r="D478" s="3">
        <f t="shared" si="21"/>
        <v>184</v>
      </c>
      <c r="E478" s="5">
        <f t="shared" si="22"/>
        <v>0.97360872059667236</v>
      </c>
      <c r="F478" s="5">
        <f t="shared" si="23"/>
        <v>0.40218014916810096</v>
      </c>
    </row>
    <row r="479" spans="1:6" x14ac:dyDescent="0.3">
      <c r="A479" s="7">
        <v>43871</v>
      </c>
      <c r="B479" s="3">
        <v>7054</v>
      </c>
      <c r="C479" s="3">
        <v>6030</v>
      </c>
      <c r="D479" s="3">
        <f t="shared" si="21"/>
        <v>1024</v>
      </c>
      <c r="E479" s="5">
        <f t="shared" si="22"/>
        <v>0.85483413666005104</v>
      </c>
      <c r="F479" s="5">
        <f t="shared" si="23"/>
        <v>0.28340556523147964</v>
      </c>
    </row>
    <row r="480" spans="1:6" x14ac:dyDescent="0.3">
      <c r="A480" s="7">
        <v>43878</v>
      </c>
      <c r="B480" s="3">
        <v>7063</v>
      </c>
      <c r="C480" s="3">
        <v>5102</v>
      </c>
      <c r="D480" s="3">
        <f t="shared" si="21"/>
        <v>1961</v>
      </c>
      <c r="E480" s="5">
        <f t="shared" si="22"/>
        <v>0.72235593940252019</v>
      </c>
      <c r="F480" s="5">
        <f t="shared" si="23"/>
        <v>0.15092736797394879</v>
      </c>
    </row>
    <row r="481" spans="1:6" x14ac:dyDescent="0.3">
      <c r="A481" s="7">
        <v>43885</v>
      </c>
      <c r="B481" s="3">
        <v>7156</v>
      </c>
      <c r="C481" s="3">
        <v>4692</v>
      </c>
      <c r="D481" s="3">
        <f t="shared" si="21"/>
        <v>2464</v>
      </c>
      <c r="E481" s="5">
        <f t="shared" si="22"/>
        <v>0.65567356064840698</v>
      </c>
      <c r="F481" s="5">
        <f t="shared" si="23"/>
        <v>8.4244989219835587E-2</v>
      </c>
    </row>
    <row r="482" spans="1:6" x14ac:dyDescent="0.3">
      <c r="A482" s="7">
        <v>43892</v>
      </c>
      <c r="B482" s="3">
        <v>7159</v>
      </c>
      <c r="C482" s="3">
        <v>4575</v>
      </c>
      <c r="D482" s="3">
        <f t="shared" si="21"/>
        <v>2584</v>
      </c>
      <c r="E482" s="5">
        <f t="shared" si="22"/>
        <v>0.63905573404106719</v>
      </c>
      <c r="F482" s="5">
        <f t="shared" si="23"/>
        <v>6.7627162612495795E-2</v>
      </c>
    </row>
    <row r="483" spans="1:6" x14ac:dyDescent="0.3">
      <c r="A483" s="7">
        <v>43899</v>
      </c>
      <c r="B483" s="3">
        <v>7111</v>
      </c>
      <c r="C483" s="3">
        <v>3952</v>
      </c>
      <c r="D483" s="3">
        <f t="shared" si="21"/>
        <v>3159</v>
      </c>
      <c r="E483" s="5">
        <f t="shared" si="22"/>
        <v>0.55575868372943327</v>
      </c>
      <c r="F483" s="5">
        <f t="shared" si="23"/>
        <v>-1.566988769913813E-2</v>
      </c>
    </row>
    <row r="484" spans="1:6" x14ac:dyDescent="0.3">
      <c r="A484" s="7">
        <v>43906</v>
      </c>
      <c r="B484" s="3">
        <v>7101</v>
      </c>
      <c r="C484" s="3">
        <v>4243</v>
      </c>
      <c r="D484" s="3">
        <f t="shared" si="21"/>
        <v>2858</v>
      </c>
      <c r="E484" s="5">
        <f t="shared" si="22"/>
        <v>0.59752147584847204</v>
      </c>
      <c r="F484" s="5">
        <f t="shared" si="23"/>
        <v>2.6092904419900642E-2</v>
      </c>
    </row>
    <row r="485" spans="1:6" x14ac:dyDescent="0.3">
      <c r="A485" s="7">
        <v>43913</v>
      </c>
      <c r="B485" s="3">
        <v>7099</v>
      </c>
      <c r="C485" s="3">
        <v>4174</v>
      </c>
      <c r="D485" s="3">
        <f t="shared" si="21"/>
        <v>2925</v>
      </c>
      <c r="E485" s="5">
        <f t="shared" si="22"/>
        <v>0.58797013663896325</v>
      </c>
      <c r="F485" s="5">
        <f t="shared" si="23"/>
        <v>1.6541565210391851E-2</v>
      </c>
    </row>
    <row r="486" spans="1:6" x14ac:dyDescent="0.3">
      <c r="A486" s="7">
        <v>43920</v>
      </c>
      <c r="B486" s="3">
        <v>7136</v>
      </c>
      <c r="C486" s="3">
        <v>4149</v>
      </c>
      <c r="D486" s="3">
        <f t="shared" si="21"/>
        <v>2987</v>
      </c>
      <c r="E486" s="5">
        <f t="shared" si="22"/>
        <v>0.5814181614349776</v>
      </c>
      <c r="F486" s="5">
        <f t="shared" si="23"/>
        <v>9.9895900064062015E-3</v>
      </c>
    </row>
    <row r="487" spans="1:6" x14ac:dyDescent="0.3">
      <c r="A487" s="7">
        <v>43927</v>
      </c>
      <c r="B487" s="3">
        <v>7130</v>
      </c>
      <c r="C487" s="3">
        <v>2996</v>
      </c>
      <c r="D487" s="3">
        <f t="shared" si="21"/>
        <v>4134</v>
      </c>
      <c r="E487" s="5">
        <f t="shared" si="22"/>
        <v>0.42019635343618511</v>
      </c>
      <c r="F487" s="5">
        <f t="shared" si="23"/>
        <v>-0.15123221799238629</v>
      </c>
    </row>
    <row r="488" spans="1:6" x14ac:dyDescent="0.3">
      <c r="A488" s="7">
        <v>43934</v>
      </c>
      <c r="B488" s="3">
        <v>7113</v>
      </c>
      <c r="C488" s="3">
        <v>3840</v>
      </c>
      <c r="D488" s="3">
        <f t="shared" si="21"/>
        <v>3273</v>
      </c>
      <c r="E488" s="5">
        <f t="shared" si="22"/>
        <v>0.53985660059046814</v>
      </c>
      <c r="F488" s="5">
        <f t="shared" si="23"/>
        <v>-3.1571970838103258E-2</v>
      </c>
    </row>
    <row r="489" spans="1:6" x14ac:dyDescent="0.3">
      <c r="A489" s="7">
        <v>43941</v>
      </c>
      <c r="B489" s="3">
        <v>7102</v>
      </c>
      <c r="C489" s="3">
        <v>3276</v>
      </c>
      <c r="D489" s="3">
        <f t="shared" si="21"/>
        <v>3826</v>
      </c>
      <c r="E489" s="5">
        <f t="shared" si="22"/>
        <v>0.46127851309490286</v>
      </c>
      <c r="F489" s="5">
        <f t="shared" si="23"/>
        <v>-0.11015005833366853</v>
      </c>
    </row>
    <row r="490" spans="1:6" x14ac:dyDescent="0.3">
      <c r="A490" s="7">
        <v>43948</v>
      </c>
      <c r="B490" s="3">
        <v>7124</v>
      </c>
      <c r="C490" s="3">
        <v>3971</v>
      </c>
      <c r="D490" s="3">
        <f t="shared" si="21"/>
        <v>3153</v>
      </c>
      <c r="E490" s="5">
        <f t="shared" si="22"/>
        <v>0.55741156653565416</v>
      </c>
      <c r="F490" s="5">
        <f t="shared" si="23"/>
        <v>-1.401700489291724E-2</v>
      </c>
    </row>
    <row r="491" spans="1:6" x14ac:dyDescent="0.3">
      <c r="A491" s="7">
        <v>43955</v>
      </c>
      <c r="B491" s="3">
        <v>7123</v>
      </c>
      <c r="C491" s="3">
        <v>3438</v>
      </c>
      <c r="D491" s="3">
        <f t="shared" si="21"/>
        <v>3685</v>
      </c>
      <c r="E491" s="5">
        <f t="shared" si="22"/>
        <v>0.48266179980345358</v>
      </c>
      <c r="F491" s="5">
        <f t="shared" si="23"/>
        <v>-8.8766771625117813E-2</v>
      </c>
    </row>
    <row r="492" spans="1:6" x14ac:dyDescent="0.3">
      <c r="A492" s="7">
        <v>43962</v>
      </c>
      <c r="B492" s="3">
        <v>7129</v>
      </c>
      <c r="C492" s="3">
        <v>3259</v>
      </c>
      <c r="D492" s="3">
        <f t="shared" si="21"/>
        <v>3870</v>
      </c>
      <c r="E492" s="5">
        <f t="shared" si="22"/>
        <v>0.45714686491794082</v>
      </c>
      <c r="F492" s="5">
        <f t="shared" si="23"/>
        <v>-0.11428170651063058</v>
      </c>
    </row>
    <row r="493" spans="1:6" x14ac:dyDescent="0.3">
      <c r="A493" s="7">
        <v>43969</v>
      </c>
      <c r="B493" s="3">
        <v>7124</v>
      </c>
      <c r="C493" s="3">
        <v>4275</v>
      </c>
      <c r="D493" s="3">
        <f t="shared" si="21"/>
        <v>2849</v>
      </c>
      <c r="E493" s="5">
        <f t="shared" si="22"/>
        <v>0.6000842223469961</v>
      </c>
      <c r="F493" s="5">
        <f t="shared" si="23"/>
        <v>2.8655650918424702E-2</v>
      </c>
    </row>
    <row r="494" spans="1:6" x14ac:dyDescent="0.3">
      <c r="A494" s="7">
        <v>43976</v>
      </c>
      <c r="B494" s="3">
        <v>7093</v>
      </c>
      <c r="C494" s="3">
        <v>4496</v>
      </c>
      <c r="D494" s="3">
        <f t="shared" si="21"/>
        <v>2597</v>
      </c>
      <c r="E494" s="5">
        <f t="shared" si="22"/>
        <v>0.63386437332581413</v>
      </c>
      <c r="F494" s="5">
        <f t="shared" si="23"/>
        <v>6.2435801897242738E-2</v>
      </c>
    </row>
    <row r="495" spans="1:6" x14ac:dyDescent="0.3">
      <c r="A495" s="7">
        <v>43983</v>
      </c>
      <c r="B495" s="3">
        <v>7128</v>
      </c>
      <c r="C495" s="3">
        <v>4047</v>
      </c>
      <c r="D495" s="3">
        <f t="shared" si="21"/>
        <v>3081</v>
      </c>
      <c r="E495" s="5">
        <f t="shared" si="22"/>
        <v>0.5677609427609428</v>
      </c>
      <c r="F495" s="5">
        <f t="shared" si="23"/>
        <v>-3.6676286676285974E-3</v>
      </c>
    </row>
    <row r="496" spans="1:6" x14ac:dyDescent="0.3">
      <c r="A496" s="7">
        <v>43990</v>
      </c>
      <c r="B496" s="3">
        <v>7116</v>
      </c>
      <c r="C496" s="3">
        <v>3340</v>
      </c>
      <c r="D496" s="3">
        <f t="shared" si="21"/>
        <v>3776</v>
      </c>
      <c r="E496" s="5">
        <f t="shared" si="22"/>
        <v>0.46936481169196176</v>
      </c>
      <c r="F496" s="5">
        <f t="shared" si="23"/>
        <v>-0.10206375973660964</v>
      </c>
    </row>
    <row r="497" spans="1:6" x14ac:dyDescent="0.3">
      <c r="A497" s="7">
        <v>43997</v>
      </c>
      <c r="B497" s="3">
        <v>7140</v>
      </c>
      <c r="C497" s="3">
        <v>3283</v>
      </c>
      <c r="D497" s="3">
        <f t="shared" si="21"/>
        <v>3857</v>
      </c>
      <c r="E497" s="5">
        <f t="shared" si="22"/>
        <v>0.45980392156862743</v>
      </c>
      <c r="F497" s="5">
        <f t="shared" si="23"/>
        <v>-0.11162464985994397</v>
      </c>
    </row>
    <row r="498" spans="1:6" x14ac:dyDescent="0.3">
      <c r="A498" s="7">
        <v>44004</v>
      </c>
      <c r="B498" s="3">
        <v>7138</v>
      </c>
      <c r="C498" s="3">
        <v>4865</v>
      </c>
      <c r="D498" s="3">
        <f t="shared" si="21"/>
        <v>2273</v>
      </c>
      <c r="E498" s="5">
        <f t="shared" si="22"/>
        <v>0.68156346315494531</v>
      </c>
      <c r="F498" s="5">
        <f t="shared" si="23"/>
        <v>0.11013489172637392</v>
      </c>
    </row>
    <row r="499" spans="1:6" x14ac:dyDescent="0.3">
      <c r="A499" s="7">
        <v>44011</v>
      </c>
      <c r="B499" s="3">
        <v>7127</v>
      </c>
      <c r="C499" s="3">
        <v>3899</v>
      </c>
      <c r="D499" s="3">
        <f t="shared" si="21"/>
        <v>3228</v>
      </c>
      <c r="E499" s="5">
        <f t="shared" si="22"/>
        <v>0.54707450540199243</v>
      </c>
      <c r="F499" s="5">
        <f t="shared" si="23"/>
        <v>-2.4354066026578969E-2</v>
      </c>
    </row>
    <row r="500" spans="1:6" x14ac:dyDescent="0.3">
      <c r="A500" s="7">
        <v>44018</v>
      </c>
      <c r="B500" s="3">
        <v>7105</v>
      </c>
      <c r="C500" s="3">
        <v>4025</v>
      </c>
      <c r="D500" s="3">
        <f t="shared" si="21"/>
        <v>3080</v>
      </c>
      <c r="E500" s="5">
        <f t="shared" si="22"/>
        <v>0.56650246305418717</v>
      </c>
      <c r="F500" s="5">
        <f t="shared" si="23"/>
        <v>-4.9261083743842304E-3</v>
      </c>
    </row>
    <row r="501" spans="1:6" x14ac:dyDescent="0.3">
      <c r="A501" s="7">
        <v>44025</v>
      </c>
      <c r="B501" s="3">
        <v>7121</v>
      </c>
      <c r="C501" s="3">
        <v>3737</v>
      </c>
      <c r="D501" s="3">
        <f t="shared" si="21"/>
        <v>3384</v>
      </c>
      <c r="E501" s="5">
        <f t="shared" si="22"/>
        <v>0.52478584468473533</v>
      </c>
      <c r="F501" s="5">
        <f t="shared" si="23"/>
        <v>-4.6642726743836072E-2</v>
      </c>
    </row>
    <row r="502" spans="1:6" x14ac:dyDescent="0.3">
      <c r="A502" s="7">
        <v>44032</v>
      </c>
      <c r="B502" s="3">
        <v>7123</v>
      </c>
      <c r="C502" s="3">
        <v>3129</v>
      </c>
      <c r="D502" s="3">
        <f t="shared" si="21"/>
        <v>3994</v>
      </c>
      <c r="E502" s="5">
        <f t="shared" si="22"/>
        <v>0.43928120174083951</v>
      </c>
      <c r="F502" s="5">
        <f t="shared" si="23"/>
        <v>-0.13214736968773189</v>
      </c>
    </row>
    <row r="503" spans="1:6" x14ac:dyDescent="0.3">
      <c r="A503" s="7">
        <v>44039</v>
      </c>
      <c r="B503" s="3">
        <v>7121</v>
      </c>
      <c r="C503" s="3">
        <v>4333</v>
      </c>
      <c r="D503" s="3">
        <f t="shared" si="21"/>
        <v>2788</v>
      </c>
      <c r="E503" s="5">
        <f t="shared" si="22"/>
        <v>0.60848195478163181</v>
      </c>
      <c r="F503" s="5">
        <f t="shared" si="23"/>
        <v>3.705338335306041E-2</v>
      </c>
    </row>
    <row r="504" spans="1:6" x14ac:dyDescent="0.3">
      <c r="A504" s="7">
        <v>44046</v>
      </c>
      <c r="B504" s="3">
        <v>7122</v>
      </c>
      <c r="C504" s="3">
        <v>4086</v>
      </c>
      <c r="D504" s="3">
        <f t="shared" si="21"/>
        <v>3036</v>
      </c>
      <c r="E504" s="5">
        <f t="shared" si="22"/>
        <v>0.573715248525695</v>
      </c>
      <c r="F504" s="5">
        <f t="shared" si="23"/>
        <v>2.2866770971236017E-3</v>
      </c>
    </row>
    <row r="505" spans="1:6" x14ac:dyDescent="0.3">
      <c r="A505" s="7">
        <v>44053</v>
      </c>
      <c r="B505" s="3">
        <v>7092</v>
      </c>
      <c r="C505" s="3">
        <v>4052</v>
      </c>
      <c r="D505" s="3">
        <f t="shared" si="21"/>
        <v>3040</v>
      </c>
      <c r="E505" s="5">
        <f t="shared" si="22"/>
        <v>0.57134799774393685</v>
      </c>
      <c r="F505" s="5">
        <f t="shared" si="23"/>
        <v>-8.0573684634543952E-5</v>
      </c>
    </row>
    <row r="506" spans="1:6" x14ac:dyDescent="0.3">
      <c r="A506" s="7">
        <v>44060</v>
      </c>
      <c r="B506" s="3">
        <v>7121</v>
      </c>
      <c r="C506" s="3">
        <v>4682</v>
      </c>
      <c r="D506" s="3">
        <f t="shared" si="21"/>
        <v>2439</v>
      </c>
      <c r="E506" s="5">
        <f t="shared" si="22"/>
        <v>0.65749192529139167</v>
      </c>
      <c r="F506" s="5">
        <f t="shared" si="23"/>
        <v>8.6063353862820269E-2</v>
      </c>
    </row>
    <row r="507" spans="1:6" x14ac:dyDescent="0.3">
      <c r="A507" s="7">
        <v>44067</v>
      </c>
      <c r="B507" s="3">
        <v>7115</v>
      </c>
      <c r="C507" s="3">
        <v>3426</v>
      </c>
      <c r="D507" s="3">
        <f t="shared" si="21"/>
        <v>3689</v>
      </c>
      <c r="E507" s="5">
        <f t="shared" si="22"/>
        <v>0.48151791988756149</v>
      </c>
      <c r="F507" s="5">
        <f t="shared" si="23"/>
        <v>-8.9910651541009912E-2</v>
      </c>
    </row>
    <row r="508" spans="1:6" x14ac:dyDescent="0.3">
      <c r="A508" s="7">
        <v>44074</v>
      </c>
      <c r="B508" s="3">
        <v>7072</v>
      </c>
      <c r="C508" s="3">
        <v>4233</v>
      </c>
      <c r="D508" s="3">
        <f t="shared" si="21"/>
        <v>2839</v>
      </c>
      <c r="E508" s="5">
        <f t="shared" si="22"/>
        <v>0.59855769230769229</v>
      </c>
      <c r="F508" s="5">
        <f t="shared" si="23"/>
        <v>2.7129120879120894E-2</v>
      </c>
    </row>
    <row r="509" spans="1:6" x14ac:dyDescent="0.3">
      <c r="A509" s="7">
        <v>44081</v>
      </c>
      <c r="B509" s="3">
        <v>7095</v>
      </c>
      <c r="C509" s="3">
        <v>5217</v>
      </c>
      <c r="D509" s="3">
        <f t="shared" si="21"/>
        <v>1878</v>
      </c>
      <c r="E509" s="5">
        <f t="shared" si="22"/>
        <v>0.73530655391120503</v>
      </c>
      <c r="F509" s="5">
        <f t="shared" si="23"/>
        <v>0.16387798248263363</v>
      </c>
    </row>
    <row r="510" spans="1:6" x14ac:dyDescent="0.3">
      <c r="A510" s="7">
        <v>44088</v>
      </c>
      <c r="B510" s="3">
        <v>7065</v>
      </c>
      <c r="C510" s="3">
        <v>3428</v>
      </c>
      <c r="D510" s="3">
        <f t="shared" si="21"/>
        <v>3637</v>
      </c>
      <c r="E510" s="5">
        <f t="shared" si="22"/>
        <v>0.48520877565463555</v>
      </c>
      <c r="F510" s="5">
        <f t="shared" si="23"/>
        <v>-8.6219795773935848E-2</v>
      </c>
    </row>
    <row r="511" spans="1:6" x14ac:dyDescent="0.3">
      <c r="A511" s="7">
        <v>44095</v>
      </c>
      <c r="B511" s="3">
        <v>7121</v>
      </c>
      <c r="C511" s="3">
        <v>4339</v>
      </c>
      <c r="D511" s="3">
        <f t="shared" si="21"/>
        <v>2782</v>
      </c>
      <c r="E511" s="5">
        <f t="shared" si="22"/>
        <v>0.60932453307119783</v>
      </c>
      <c r="F511" s="5">
        <f t="shared" si="23"/>
        <v>3.789596164262643E-2</v>
      </c>
    </row>
    <row r="512" spans="1:6" x14ac:dyDescent="0.3">
      <c r="A512" s="7">
        <v>44102</v>
      </c>
      <c r="B512" s="3">
        <v>7081</v>
      </c>
      <c r="C512" s="3">
        <v>4065</v>
      </c>
      <c r="D512" s="3">
        <f t="shared" si="21"/>
        <v>3016</v>
      </c>
      <c r="E512" s="5">
        <f t="shared" si="22"/>
        <v>0.57407145883349808</v>
      </c>
      <c r="F512" s="5">
        <f t="shared" si="23"/>
        <v>2.6428874049266859E-3</v>
      </c>
    </row>
    <row r="513" spans="1:6" x14ac:dyDescent="0.3">
      <c r="A513" s="7">
        <v>44109</v>
      </c>
      <c r="B513" s="3">
        <v>7091</v>
      </c>
      <c r="C513" s="3">
        <v>3880</v>
      </c>
      <c r="D513" s="3">
        <f t="shared" si="21"/>
        <v>3211</v>
      </c>
      <c r="E513" s="5">
        <f t="shared" si="22"/>
        <v>0.54717247214779297</v>
      </c>
      <c r="F513" s="5">
        <f t="shared" si="23"/>
        <v>-2.4256099280778431E-2</v>
      </c>
    </row>
    <row r="514" spans="1:6" x14ac:dyDescent="0.3">
      <c r="A514" s="7">
        <v>44116</v>
      </c>
      <c r="B514" s="3">
        <v>7103</v>
      </c>
      <c r="C514" s="3">
        <v>5286</v>
      </c>
      <c r="D514" s="3">
        <f t="shared" si="21"/>
        <v>1817</v>
      </c>
      <c r="E514" s="5">
        <f t="shared" si="22"/>
        <v>0.7441925946783049</v>
      </c>
      <c r="F514" s="5">
        <f t="shared" si="23"/>
        <v>0.1727640232497335</v>
      </c>
    </row>
    <row r="515" spans="1:6" x14ac:dyDescent="0.3">
      <c r="A515" s="7">
        <v>44123</v>
      </c>
      <c r="B515" s="3">
        <v>7096</v>
      </c>
      <c r="C515" s="3">
        <v>4394</v>
      </c>
      <c r="D515" s="3">
        <f t="shared" si="21"/>
        <v>2702</v>
      </c>
      <c r="E515" s="5">
        <f t="shared" si="22"/>
        <v>0.61922209695603159</v>
      </c>
      <c r="F515" s="5">
        <f t="shared" si="23"/>
        <v>4.779352552746019E-2</v>
      </c>
    </row>
    <row r="516" spans="1:6" x14ac:dyDescent="0.3">
      <c r="A516" s="7">
        <v>44130</v>
      </c>
      <c r="B516" s="3">
        <v>7048</v>
      </c>
      <c r="C516" s="3">
        <v>4340</v>
      </c>
      <c r="D516" s="3">
        <f t="shared" si="21"/>
        <v>2708</v>
      </c>
      <c r="E516" s="5">
        <f t="shared" si="22"/>
        <v>0.6157775255391601</v>
      </c>
      <c r="F516" s="5">
        <f t="shared" si="23"/>
        <v>4.4348954110588701E-2</v>
      </c>
    </row>
    <row r="517" spans="1:6" x14ac:dyDescent="0.3">
      <c r="A517" s="7">
        <v>44137</v>
      </c>
      <c r="B517" s="3">
        <v>7125</v>
      </c>
      <c r="C517" s="3">
        <v>4810</v>
      </c>
      <c r="D517" s="3">
        <f t="shared" si="21"/>
        <v>2315</v>
      </c>
      <c r="E517" s="5">
        <f t="shared" si="22"/>
        <v>0.67508771929824563</v>
      </c>
      <c r="F517" s="5">
        <f t="shared" si="23"/>
        <v>0.10365914786967423</v>
      </c>
    </row>
    <row r="518" spans="1:6" x14ac:dyDescent="0.3">
      <c r="A518" s="7">
        <v>44144</v>
      </c>
      <c r="B518" s="3">
        <v>7132</v>
      </c>
      <c r="C518" s="3">
        <v>4551</v>
      </c>
      <c r="D518" s="3">
        <f t="shared" si="21"/>
        <v>2581</v>
      </c>
      <c r="E518" s="5">
        <f t="shared" si="22"/>
        <v>0.63810992708917558</v>
      </c>
      <c r="F518" s="5">
        <f t="shared" si="23"/>
        <v>6.668135566060418E-2</v>
      </c>
    </row>
    <row r="519" spans="1:6" x14ac:dyDescent="0.3">
      <c r="A519" s="7">
        <v>44151</v>
      </c>
      <c r="B519" s="3">
        <v>7100</v>
      </c>
      <c r="C519" s="3">
        <v>2178</v>
      </c>
      <c r="D519" s="3">
        <f t="shared" si="21"/>
        <v>4922</v>
      </c>
      <c r="E519" s="5">
        <f t="shared" si="22"/>
        <v>0.30676056338028168</v>
      </c>
      <c r="F519" s="5">
        <f t="shared" si="23"/>
        <v>-0.26466800804828972</v>
      </c>
    </row>
    <row r="520" spans="1:6" x14ac:dyDescent="0.3">
      <c r="A520" s="7">
        <v>44158</v>
      </c>
      <c r="B520" s="3">
        <v>7078</v>
      </c>
      <c r="C520" s="3">
        <v>4149</v>
      </c>
      <c r="D520" s="3">
        <f t="shared" si="21"/>
        <v>2929</v>
      </c>
      <c r="E520" s="5">
        <f t="shared" si="22"/>
        <v>0.58618253743995474</v>
      </c>
      <c r="F520" s="5">
        <f t="shared" si="23"/>
        <v>1.4753966011383346E-2</v>
      </c>
    </row>
    <row r="521" spans="1:6" x14ac:dyDescent="0.3">
      <c r="A521" s="7">
        <v>44165</v>
      </c>
      <c r="B521" s="3">
        <v>7135</v>
      </c>
      <c r="C521" s="3">
        <v>3977</v>
      </c>
      <c r="D521" s="3">
        <f t="shared" ref="D521:D584" si="24">B521-C521</f>
        <v>3158</v>
      </c>
      <c r="E521" s="5">
        <f t="shared" ref="E521:E584" si="25">C521/B521</f>
        <v>0.55739313244569022</v>
      </c>
      <c r="F521" s="5">
        <f t="shared" ref="F521:F584" si="26">E521-$B$6</f>
        <v>-1.4035438982881177E-2</v>
      </c>
    </row>
    <row r="522" spans="1:6" x14ac:dyDescent="0.3">
      <c r="A522" s="7">
        <v>44172</v>
      </c>
      <c r="B522" s="3">
        <v>7088</v>
      </c>
      <c r="C522" s="3">
        <v>3626</v>
      </c>
      <c r="D522" s="3">
        <f t="shared" si="24"/>
        <v>3462</v>
      </c>
      <c r="E522" s="5">
        <f t="shared" si="25"/>
        <v>0.51156884875846498</v>
      </c>
      <c r="F522" s="5">
        <f t="shared" si="26"/>
        <v>-5.9859722670106419E-2</v>
      </c>
    </row>
    <row r="523" spans="1:6" x14ac:dyDescent="0.3">
      <c r="A523" s="7">
        <v>44179</v>
      </c>
      <c r="B523" s="3">
        <v>7107</v>
      </c>
      <c r="C523" s="3">
        <v>3913</v>
      </c>
      <c r="D523" s="3">
        <f t="shared" si="24"/>
        <v>3194</v>
      </c>
      <c r="E523" s="5">
        <f t="shared" si="25"/>
        <v>0.55058393133530326</v>
      </c>
      <c r="F523" s="5">
        <f t="shared" si="26"/>
        <v>-2.0844640093268141E-2</v>
      </c>
    </row>
    <row r="524" spans="1:6" x14ac:dyDescent="0.3">
      <c r="A524" s="7">
        <v>44186</v>
      </c>
      <c r="B524" s="3">
        <v>5511</v>
      </c>
      <c r="C524" s="3">
        <v>2557</v>
      </c>
      <c r="D524" s="3">
        <f t="shared" si="24"/>
        <v>2954</v>
      </c>
      <c r="E524" s="5">
        <f t="shared" si="25"/>
        <v>0.46398112865178731</v>
      </c>
      <c r="F524" s="5">
        <f t="shared" si="26"/>
        <v>-0.10744744277678409</v>
      </c>
    </row>
    <row r="525" spans="1:6" x14ac:dyDescent="0.3">
      <c r="A525" s="7">
        <v>44193</v>
      </c>
      <c r="B525" s="3">
        <v>5470</v>
      </c>
      <c r="C525" s="3">
        <v>3795</v>
      </c>
      <c r="D525" s="3">
        <f t="shared" si="24"/>
        <v>1675</v>
      </c>
      <c r="E525" s="5">
        <f t="shared" si="25"/>
        <v>0.69378427787934183</v>
      </c>
      <c r="F525" s="5">
        <f t="shared" si="26"/>
        <v>0.12235570645077043</v>
      </c>
    </row>
    <row r="526" spans="1:6" x14ac:dyDescent="0.3">
      <c r="A526" s="7">
        <v>44200</v>
      </c>
      <c r="B526" s="3">
        <v>7138</v>
      </c>
      <c r="C526" s="3">
        <v>4923</v>
      </c>
      <c r="D526" s="3">
        <f t="shared" si="24"/>
        <v>2215</v>
      </c>
      <c r="E526" s="5">
        <f t="shared" si="25"/>
        <v>0.68968898851218829</v>
      </c>
      <c r="F526" s="5">
        <f t="shared" si="26"/>
        <v>0.1182604170836169</v>
      </c>
    </row>
    <row r="527" spans="1:6" x14ac:dyDescent="0.3">
      <c r="A527" s="7">
        <v>44207</v>
      </c>
      <c r="B527" s="3">
        <v>7094</v>
      </c>
      <c r="C527" s="3">
        <v>4464</v>
      </c>
      <c r="D527" s="3">
        <f t="shared" si="24"/>
        <v>2630</v>
      </c>
      <c r="E527" s="5">
        <f t="shared" si="25"/>
        <v>0.62926416690160702</v>
      </c>
      <c r="F527" s="5">
        <f t="shared" si="26"/>
        <v>5.7835595473035628E-2</v>
      </c>
    </row>
    <row r="528" spans="1:6" x14ac:dyDescent="0.3">
      <c r="A528" s="7">
        <v>44214</v>
      </c>
      <c r="B528" s="3">
        <v>7042</v>
      </c>
      <c r="C528" s="3">
        <v>4270</v>
      </c>
      <c r="D528" s="3">
        <f t="shared" si="24"/>
        <v>2772</v>
      </c>
      <c r="E528" s="5">
        <f t="shared" si="25"/>
        <v>0.6063618290258449</v>
      </c>
      <c r="F528" s="5">
        <f t="shared" si="26"/>
        <v>3.4933257597273504E-2</v>
      </c>
    </row>
    <row r="529" spans="1:6" x14ac:dyDescent="0.3">
      <c r="A529" s="7">
        <v>44221</v>
      </c>
      <c r="B529" s="3">
        <v>7088</v>
      </c>
      <c r="C529" s="3">
        <v>4076</v>
      </c>
      <c r="D529" s="3">
        <f t="shared" si="24"/>
        <v>3012</v>
      </c>
      <c r="E529" s="5">
        <f t="shared" si="25"/>
        <v>0.57505643340857793</v>
      </c>
      <c r="F529" s="5">
        <f t="shared" si="26"/>
        <v>3.6278619800065304E-3</v>
      </c>
    </row>
    <row r="530" spans="1:6" x14ac:dyDescent="0.3">
      <c r="A530" s="7">
        <v>44228</v>
      </c>
      <c r="B530" s="3">
        <v>7112</v>
      </c>
      <c r="C530" s="3">
        <v>5228</v>
      </c>
      <c r="D530" s="3">
        <f t="shared" si="24"/>
        <v>1884</v>
      </c>
      <c r="E530" s="5">
        <f t="shared" si="25"/>
        <v>0.7350956130483689</v>
      </c>
      <c r="F530" s="5">
        <f t="shared" si="26"/>
        <v>0.1636670416197975</v>
      </c>
    </row>
    <row r="531" spans="1:6" x14ac:dyDescent="0.3">
      <c r="A531" s="7">
        <v>44235</v>
      </c>
      <c r="B531" s="3">
        <v>7019</v>
      </c>
      <c r="C531" s="3">
        <v>2955</v>
      </c>
      <c r="D531" s="3">
        <f t="shared" si="24"/>
        <v>4064</v>
      </c>
      <c r="E531" s="5">
        <f t="shared" si="25"/>
        <v>0.42100014247043738</v>
      </c>
      <c r="F531" s="5">
        <f t="shared" si="26"/>
        <v>-0.15042842895813402</v>
      </c>
    </row>
    <row r="532" spans="1:6" x14ac:dyDescent="0.3">
      <c r="A532" s="7">
        <v>44242</v>
      </c>
      <c r="B532" s="3">
        <v>7074</v>
      </c>
      <c r="C532" s="3">
        <v>3886</v>
      </c>
      <c r="D532" s="3">
        <f t="shared" si="24"/>
        <v>3188</v>
      </c>
      <c r="E532" s="5">
        <f t="shared" si="25"/>
        <v>0.54933559513712182</v>
      </c>
      <c r="F532" s="5">
        <f t="shared" si="26"/>
        <v>-2.2092976291449573E-2</v>
      </c>
    </row>
    <row r="533" spans="1:6" x14ac:dyDescent="0.3">
      <c r="A533" s="7">
        <v>44249</v>
      </c>
      <c r="B533" s="3">
        <v>7110</v>
      </c>
      <c r="C533" s="3">
        <v>3785</v>
      </c>
      <c r="D533" s="3">
        <f t="shared" si="24"/>
        <v>3325</v>
      </c>
      <c r="E533" s="5">
        <f t="shared" si="25"/>
        <v>0.53234880450070321</v>
      </c>
      <c r="F533" s="5">
        <f t="shared" si="26"/>
        <v>-3.9079766927868187E-2</v>
      </c>
    </row>
    <row r="534" spans="1:6" x14ac:dyDescent="0.3">
      <c r="A534" s="7">
        <v>44256</v>
      </c>
      <c r="B534" s="3">
        <v>7099</v>
      </c>
      <c r="C534" s="3">
        <v>4809</v>
      </c>
      <c r="D534" s="3">
        <f t="shared" si="24"/>
        <v>2290</v>
      </c>
      <c r="E534" s="5">
        <f t="shared" si="25"/>
        <v>0.67741935483870963</v>
      </c>
      <c r="F534" s="5">
        <f t="shared" si="26"/>
        <v>0.10599078341013823</v>
      </c>
    </row>
    <row r="535" spans="1:6" x14ac:dyDescent="0.3">
      <c r="A535" s="7">
        <v>44263</v>
      </c>
      <c r="B535" s="3">
        <v>7076</v>
      </c>
      <c r="C535" s="3">
        <v>4511</v>
      </c>
      <c r="D535" s="3">
        <f t="shared" si="24"/>
        <v>2565</v>
      </c>
      <c r="E535" s="5">
        <f t="shared" si="25"/>
        <v>0.63750706613906161</v>
      </c>
      <c r="F535" s="5">
        <f t="shared" si="26"/>
        <v>6.607849471049021E-2</v>
      </c>
    </row>
    <row r="536" spans="1:6" x14ac:dyDescent="0.3">
      <c r="A536" s="7">
        <v>44270</v>
      </c>
      <c r="B536" s="3">
        <v>7032</v>
      </c>
      <c r="C536" s="3">
        <v>3598</v>
      </c>
      <c r="D536" s="3">
        <f t="shared" si="24"/>
        <v>3434</v>
      </c>
      <c r="E536" s="5">
        <f t="shared" si="25"/>
        <v>0.51166097838452784</v>
      </c>
      <c r="F536" s="5">
        <f t="shared" si="26"/>
        <v>-5.9767593044043554E-2</v>
      </c>
    </row>
    <row r="537" spans="1:6" x14ac:dyDescent="0.3">
      <c r="A537" s="7">
        <v>44277</v>
      </c>
      <c r="B537" s="3">
        <v>7036</v>
      </c>
      <c r="C537" s="3">
        <v>5230</v>
      </c>
      <c r="D537" s="3">
        <f t="shared" si="24"/>
        <v>1806</v>
      </c>
      <c r="E537" s="5">
        <f t="shared" si="25"/>
        <v>0.74332006822057983</v>
      </c>
      <c r="F537" s="5">
        <f t="shared" si="26"/>
        <v>0.17189149679200844</v>
      </c>
    </row>
    <row r="538" spans="1:6" x14ac:dyDescent="0.3">
      <c r="A538" s="7">
        <v>44284</v>
      </c>
      <c r="B538" s="3">
        <v>6959</v>
      </c>
      <c r="C538" s="3">
        <v>4203</v>
      </c>
      <c r="D538" s="3">
        <f t="shared" si="24"/>
        <v>2756</v>
      </c>
      <c r="E538" s="5">
        <f t="shared" si="25"/>
        <v>0.60396608708147725</v>
      </c>
      <c r="F538" s="5">
        <f t="shared" si="26"/>
        <v>3.2537515652905857E-2</v>
      </c>
    </row>
    <row r="539" spans="1:6" x14ac:dyDescent="0.3">
      <c r="A539" s="7">
        <v>44291</v>
      </c>
      <c r="B539" s="3">
        <v>6997</v>
      </c>
      <c r="C539" s="3">
        <v>4315</v>
      </c>
      <c r="D539" s="3">
        <f t="shared" si="24"/>
        <v>2682</v>
      </c>
      <c r="E539" s="5">
        <f t="shared" si="25"/>
        <v>0.61669286837215953</v>
      </c>
      <c r="F539" s="5">
        <f t="shared" si="26"/>
        <v>4.5264296943588134E-2</v>
      </c>
    </row>
    <row r="540" spans="1:6" x14ac:dyDescent="0.3">
      <c r="A540" s="7">
        <v>44298</v>
      </c>
      <c r="B540" s="3">
        <v>7018</v>
      </c>
      <c r="C540" s="3">
        <v>2447</v>
      </c>
      <c r="D540" s="3">
        <f t="shared" si="24"/>
        <v>4571</v>
      </c>
      <c r="E540" s="5">
        <f t="shared" si="25"/>
        <v>0.3486748361356512</v>
      </c>
      <c r="F540" s="5">
        <f t="shared" si="26"/>
        <v>-0.2227537352929202</v>
      </c>
    </row>
    <row r="541" spans="1:6" x14ac:dyDescent="0.3">
      <c r="A541" s="7">
        <v>44305</v>
      </c>
      <c r="B541" s="3">
        <v>7022</v>
      </c>
      <c r="C541" s="3">
        <v>3164</v>
      </c>
      <c r="D541" s="3">
        <f t="shared" si="24"/>
        <v>3858</v>
      </c>
      <c r="E541" s="5">
        <f t="shared" si="25"/>
        <v>0.45058387923668469</v>
      </c>
      <c r="F541" s="5">
        <f t="shared" si="26"/>
        <v>-0.1208446921918867</v>
      </c>
    </row>
    <row r="542" spans="1:6" x14ac:dyDescent="0.3">
      <c r="A542" s="7">
        <v>44312</v>
      </c>
      <c r="B542" s="3">
        <v>7050</v>
      </c>
      <c r="C542" s="3">
        <v>4219</v>
      </c>
      <c r="D542" s="3">
        <f t="shared" si="24"/>
        <v>2831</v>
      </c>
      <c r="E542" s="5">
        <f t="shared" si="25"/>
        <v>0.59843971631205672</v>
      </c>
      <c r="F542" s="5">
        <f t="shared" si="26"/>
        <v>2.7011144883485327E-2</v>
      </c>
    </row>
    <row r="543" spans="1:6" x14ac:dyDescent="0.3">
      <c r="A543" s="7">
        <v>44319</v>
      </c>
      <c r="B543" s="3">
        <v>6980</v>
      </c>
      <c r="C543" s="3">
        <v>4429</v>
      </c>
      <c r="D543" s="3">
        <f t="shared" si="24"/>
        <v>2551</v>
      </c>
      <c r="E543" s="5">
        <f t="shared" si="25"/>
        <v>0.63452722063037248</v>
      </c>
      <c r="F543" s="5">
        <f t="shared" si="26"/>
        <v>6.3098649201801082E-2</v>
      </c>
    </row>
    <row r="544" spans="1:6" x14ac:dyDescent="0.3">
      <c r="A544" s="7">
        <v>44326</v>
      </c>
      <c r="B544" s="3">
        <v>7041</v>
      </c>
      <c r="C544" s="3">
        <v>4189</v>
      </c>
      <c r="D544" s="3">
        <f t="shared" si="24"/>
        <v>2852</v>
      </c>
      <c r="E544" s="5">
        <f t="shared" si="25"/>
        <v>0.5949439000142025</v>
      </c>
      <c r="F544" s="5">
        <f t="shared" si="26"/>
        <v>2.3515328585631101E-2</v>
      </c>
    </row>
    <row r="545" spans="1:6" x14ac:dyDescent="0.3">
      <c r="A545" s="7">
        <v>44333</v>
      </c>
      <c r="B545" s="3">
        <v>7028</v>
      </c>
      <c r="C545" s="3">
        <v>4619</v>
      </c>
      <c r="D545" s="3">
        <f t="shared" si="24"/>
        <v>2409</v>
      </c>
      <c r="E545" s="5">
        <f t="shared" si="25"/>
        <v>0.65722822993739327</v>
      </c>
      <c r="F545" s="5">
        <f t="shared" si="26"/>
        <v>8.5799658508821874E-2</v>
      </c>
    </row>
    <row r="546" spans="1:6" x14ac:dyDescent="0.3">
      <c r="A546" s="7">
        <v>44340</v>
      </c>
      <c r="B546" s="3">
        <v>7039</v>
      </c>
      <c r="C546" s="3">
        <v>5201</v>
      </c>
      <c r="D546" s="3">
        <f t="shared" si="24"/>
        <v>1838</v>
      </c>
      <c r="E546" s="5">
        <f t="shared" si="25"/>
        <v>0.73888336411422073</v>
      </c>
      <c r="F546" s="5">
        <f t="shared" si="26"/>
        <v>0.16745479268564933</v>
      </c>
    </row>
    <row r="547" spans="1:6" x14ac:dyDescent="0.3">
      <c r="A547" s="7">
        <v>44347</v>
      </c>
      <c r="B547" s="3">
        <v>6892</v>
      </c>
      <c r="C547" s="3">
        <v>4286</v>
      </c>
      <c r="D547" s="3">
        <f t="shared" si="24"/>
        <v>2606</v>
      </c>
      <c r="E547" s="5">
        <f t="shared" si="25"/>
        <v>0.62188044109112017</v>
      </c>
      <c r="F547" s="5">
        <f t="shared" si="26"/>
        <v>5.0451869662548776E-2</v>
      </c>
    </row>
    <row r="548" spans="1:6" x14ac:dyDescent="0.3">
      <c r="A548" s="7">
        <v>44354</v>
      </c>
      <c r="B548" s="3">
        <v>6983</v>
      </c>
      <c r="C548" s="3">
        <v>2657</v>
      </c>
      <c r="D548" s="3">
        <f t="shared" si="24"/>
        <v>4326</v>
      </c>
      <c r="E548" s="5">
        <f t="shared" si="25"/>
        <v>0.38049548904482317</v>
      </c>
      <c r="F548" s="5">
        <f t="shared" si="26"/>
        <v>-0.19093308238374823</v>
      </c>
    </row>
    <row r="549" spans="1:6" x14ac:dyDescent="0.3">
      <c r="A549" s="7">
        <v>44361</v>
      </c>
      <c r="B549" s="3">
        <v>7028</v>
      </c>
      <c r="C549" s="3">
        <v>4432</v>
      </c>
      <c r="D549" s="3">
        <f t="shared" si="24"/>
        <v>2596</v>
      </c>
      <c r="E549" s="5">
        <f t="shared" si="25"/>
        <v>0.63062037564029594</v>
      </c>
      <c r="F549" s="5">
        <f t="shared" si="26"/>
        <v>5.9191804211724541E-2</v>
      </c>
    </row>
    <row r="550" spans="1:6" x14ac:dyDescent="0.3">
      <c r="A550" s="7">
        <v>44368</v>
      </c>
      <c r="B550" s="3">
        <v>7003</v>
      </c>
      <c r="C550" s="3">
        <v>2398</v>
      </c>
      <c r="D550" s="3">
        <f t="shared" si="24"/>
        <v>4605</v>
      </c>
      <c r="E550" s="5">
        <f t="shared" si="25"/>
        <v>0.34242467513922603</v>
      </c>
      <c r="F550" s="5">
        <f t="shared" si="26"/>
        <v>-0.22900389628934537</v>
      </c>
    </row>
    <row r="551" spans="1:6" x14ac:dyDescent="0.3">
      <c r="A551" s="7">
        <v>44375</v>
      </c>
      <c r="B551" s="3">
        <v>6986</v>
      </c>
      <c r="C551" s="3">
        <v>4032</v>
      </c>
      <c r="D551" s="3">
        <f t="shared" si="24"/>
        <v>2954</v>
      </c>
      <c r="E551" s="5">
        <f t="shared" si="25"/>
        <v>0.57715430861723449</v>
      </c>
      <c r="F551" s="5">
        <f t="shared" si="26"/>
        <v>5.7257371886630937E-3</v>
      </c>
    </row>
    <row r="552" spans="1:6" x14ac:dyDescent="0.3">
      <c r="A552" s="7">
        <v>44382</v>
      </c>
      <c r="B552" s="3">
        <v>7023</v>
      </c>
      <c r="C552" s="3">
        <v>2273</v>
      </c>
      <c r="D552" s="3">
        <f t="shared" si="24"/>
        <v>4750</v>
      </c>
      <c r="E552" s="5">
        <f t="shared" si="25"/>
        <v>0.32365086145521854</v>
      </c>
      <c r="F552" s="5">
        <f t="shared" si="26"/>
        <v>-0.24777770997335286</v>
      </c>
    </row>
    <row r="553" spans="1:6" x14ac:dyDescent="0.3">
      <c r="A553" s="7">
        <v>44389</v>
      </c>
      <c r="B553" s="3">
        <v>6978</v>
      </c>
      <c r="C553" s="3">
        <v>5503</v>
      </c>
      <c r="D553" s="3">
        <f t="shared" si="24"/>
        <v>1475</v>
      </c>
      <c r="E553" s="5">
        <f t="shared" si="25"/>
        <v>0.7886213814846661</v>
      </c>
      <c r="F553" s="5">
        <f t="shared" si="26"/>
        <v>0.2171928100560947</v>
      </c>
    </row>
    <row r="554" spans="1:6" x14ac:dyDescent="0.3">
      <c r="A554" s="7">
        <v>44396</v>
      </c>
      <c r="B554" s="3">
        <v>7022</v>
      </c>
      <c r="C554" s="3">
        <v>2789</v>
      </c>
      <c r="D554" s="3">
        <f t="shared" si="24"/>
        <v>4233</v>
      </c>
      <c r="E554" s="5">
        <f t="shared" si="25"/>
        <v>0.39718029051552262</v>
      </c>
      <c r="F554" s="5">
        <f t="shared" si="26"/>
        <v>-0.17424828091304878</v>
      </c>
    </row>
    <row r="555" spans="1:6" x14ac:dyDescent="0.3">
      <c r="A555" s="7">
        <v>44403</v>
      </c>
      <c r="B555" s="3">
        <v>6999</v>
      </c>
      <c r="C555" s="3">
        <v>2774</v>
      </c>
      <c r="D555" s="3">
        <f t="shared" si="24"/>
        <v>4225</v>
      </c>
      <c r="E555" s="5">
        <f t="shared" si="25"/>
        <v>0.3963423346192313</v>
      </c>
      <c r="F555" s="5">
        <f t="shared" si="26"/>
        <v>-0.1750862368093401</v>
      </c>
    </row>
    <row r="556" spans="1:6" x14ac:dyDescent="0.3">
      <c r="A556" s="7">
        <v>44410</v>
      </c>
      <c r="B556" s="3">
        <v>6984</v>
      </c>
      <c r="C556" s="3">
        <v>3486</v>
      </c>
      <c r="D556" s="3">
        <f t="shared" si="24"/>
        <v>3498</v>
      </c>
      <c r="E556" s="5">
        <f t="shared" si="25"/>
        <v>0.49914089347079038</v>
      </c>
      <c r="F556" s="5">
        <f t="shared" si="26"/>
        <v>-7.2287677957781016E-2</v>
      </c>
    </row>
    <row r="557" spans="1:6" x14ac:dyDescent="0.3">
      <c r="A557" s="7">
        <v>44417</v>
      </c>
      <c r="B557" s="3">
        <v>6938</v>
      </c>
      <c r="C557" s="3">
        <v>5135</v>
      </c>
      <c r="D557" s="3">
        <f t="shared" si="24"/>
        <v>1803</v>
      </c>
      <c r="E557" s="5">
        <f t="shared" si="25"/>
        <v>0.74012683770539056</v>
      </c>
      <c r="F557" s="5">
        <f t="shared" si="26"/>
        <v>0.16869826627681916</v>
      </c>
    </row>
    <row r="558" spans="1:6" x14ac:dyDescent="0.3">
      <c r="A558" s="7">
        <v>44424</v>
      </c>
      <c r="B558" s="3">
        <v>6971</v>
      </c>
      <c r="C558" s="3">
        <v>4286</v>
      </c>
      <c r="D558" s="3">
        <f t="shared" si="24"/>
        <v>2685</v>
      </c>
      <c r="E558" s="5">
        <f t="shared" si="25"/>
        <v>0.61483287907043471</v>
      </c>
      <c r="F558" s="5">
        <f t="shared" si="26"/>
        <v>4.3404307641863316E-2</v>
      </c>
    </row>
    <row r="559" spans="1:6" x14ac:dyDescent="0.3">
      <c r="A559" s="7">
        <v>44431</v>
      </c>
      <c r="B559" s="3">
        <v>6941</v>
      </c>
      <c r="C559" s="3">
        <v>4128</v>
      </c>
      <c r="D559" s="3">
        <f t="shared" si="24"/>
        <v>2813</v>
      </c>
      <c r="E559" s="5">
        <f t="shared" si="25"/>
        <v>0.5947269845843538</v>
      </c>
      <c r="F559" s="5">
        <f t="shared" si="26"/>
        <v>2.3298413155782405E-2</v>
      </c>
    </row>
    <row r="560" spans="1:6" x14ac:dyDescent="0.3">
      <c r="A560" s="7">
        <v>44438</v>
      </c>
      <c r="B560" s="3">
        <v>6865</v>
      </c>
      <c r="C560" s="3">
        <v>4568</v>
      </c>
      <c r="D560" s="3">
        <f t="shared" si="24"/>
        <v>2297</v>
      </c>
      <c r="E560" s="5">
        <f t="shared" si="25"/>
        <v>0.66540422432629276</v>
      </c>
      <c r="F560" s="5">
        <f t="shared" si="26"/>
        <v>9.3975652897721362E-2</v>
      </c>
    </row>
    <row r="561" spans="1:6" x14ac:dyDescent="0.3">
      <c r="A561" s="7">
        <v>44445</v>
      </c>
      <c r="B561" s="3">
        <v>6945</v>
      </c>
      <c r="C561" s="3">
        <v>3912</v>
      </c>
      <c r="D561" s="3">
        <f t="shared" si="24"/>
        <v>3033</v>
      </c>
      <c r="E561" s="5">
        <f t="shared" si="25"/>
        <v>0.56328293736501078</v>
      </c>
      <c r="F561" s="5">
        <f t="shared" si="26"/>
        <v>-8.1456340635606139E-3</v>
      </c>
    </row>
    <row r="562" spans="1:6" x14ac:dyDescent="0.3">
      <c r="A562" s="7">
        <v>44452</v>
      </c>
      <c r="B562" s="3">
        <v>6984</v>
      </c>
      <c r="C562" s="3">
        <v>3129</v>
      </c>
      <c r="D562" s="3">
        <f t="shared" si="24"/>
        <v>3855</v>
      </c>
      <c r="E562" s="5">
        <f t="shared" si="25"/>
        <v>0.44802405498281789</v>
      </c>
      <c r="F562" s="5">
        <f t="shared" si="26"/>
        <v>-0.12340451644575351</v>
      </c>
    </row>
    <row r="563" spans="1:6" x14ac:dyDescent="0.3">
      <c r="A563" s="7">
        <v>44459</v>
      </c>
      <c r="B563" s="3">
        <v>6975</v>
      </c>
      <c r="C563" s="3">
        <v>2717</v>
      </c>
      <c r="D563" s="3">
        <f t="shared" si="24"/>
        <v>4258</v>
      </c>
      <c r="E563" s="5">
        <f t="shared" si="25"/>
        <v>0.38953405017921144</v>
      </c>
      <c r="F563" s="5">
        <f t="shared" si="26"/>
        <v>-0.18189452124935995</v>
      </c>
    </row>
    <row r="564" spans="1:6" x14ac:dyDescent="0.3">
      <c r="A564" s="7">
        <v>44466</v>
      </c>
      <c r="B564" s="3">
        <v>6950</v>
      </c>
      <c r="C564" s="3">
        <v>4796</v>
      </c>
      <c r="D564" s="3">
        <f t="shared" si="24"/>
        <v>2154</v>
      </c>
      <c r="E564" s="5">
        <f t="shared" si="25"/>
        <v>0.6900719424460432</v>
      </c>
      <c r="F564" s="5">
        <f t="shared" si="26"/>
        <v>0.1186433710174718</v>
      </c>
    </row>
    <row r="565" spans="1:6" x14ac:dyDescent="0.3">
      <c r="A565" s="7">
        <v>44473</v>
      </c>
      <c r="B565" s="3">
        <v>7025</v>
      </c>
      <c r="C565" s="3">
        <v>2869</v>
      </c>
      <c r="D565" s="3">
        <f t="shared" si="24"/>
        <v>4156</v>
      </c>
      <c r="E565" s="5">
        <f t="shared" si="25"/>
        <v>0.40839857651245554</v>
      </c>
      <c r="F565" s="5">
        <f t="shared" si="26"/>
        <v>-0.16302999491611586</v>
      </c>
    </row>
    <row r="566" spans="1:6" x14ac:dyDescent="0.3">
      <c r="A566" s="7">
        <v>44480</v>
      </c>
      <c r="B566" s="3">
        <v>6950</v>
      </c>
      <c r="C566" s="3">
        <v>2285</v>
      </c>
      <c r="D566" s="3">
        <f t="shared" si="24"/>
        <v>4665</v>
      </c>
      <c r="E566" s="5">
        <f t="shared" si="25"/>
        <v>0.32877697841726616</v>
      </c>
      <c r="F566" s="5">
        <f t="shared" si="26"/>
        <v>-0.24265159301130523</v>
      </c>
    </row>
    <row r="567" spans="1:6" x14ac:dyDescent="0.3">
      <c r="A567" s="7">
        <v>44487</v>
      </c>
      <c r="B567" s="3">
        <v>7008</v>
      </c>
      <c r="C567" s="3">
        <v>2824</v>
      </c>
      <c r="D567" s="3">
        <f t="shared" si="24"/>
        <v>4184</v>
      </c>
      <c r="E567" s="5">
        <f t="shared" si="25"/>
        <v>0.40296803652968038</v>
      </c>
      <c r="F567" s="5">
        <f t="shared" si="26"/>
        <v>-0.16846053489889101</v>
      </c>
    </row>
    <row r="568" spans="1:6" x14ac:dyDescent="0.3">
      <c r="A568" s="7">
        <v>44494</v>
      </c>
      <c r="B568" s="3">
        <v>6999</v>
      </c>
      <c r="C568" s="3">
        <v>4021</v>
      </c>
      <c r="D568" s="3">
        <f t="shared" si="24"/>
        <v>2978</v>
      </c>
      <c r="E568" s="5">
        <f t="shared" si="25"/>
        <v>0.57451064437776822</v>
      </c>
      <c r="F568" s="5">
        <f t="shared" si="26"/>
        <v>3.0820729491968235E-3</v>
      </c>
    </row>
    <row r="569" spans="1:6" x14ac:dyDescent="0.3">
      <c r="A569" s="7">
        <v>44501</v>
      </c>
      <c r="B569" s="3">
        <v>6986</v>
      </c>
      <c r="C569" s="3">
        <v>2841</v>
      </c>
      <c r="D569" s="3">
        <f t="shared" si="24"/>
        <v>4145</v>
      </c>
      <c r="E569" s="5">
        <f t="shared" si="25"/>
        <v>0.40667048382479243</v>
      </c>
      <c r="F569" s="5">
        <f t="shared" si="26"/>
        <v>-0.16475808760377897</v>
      </c>
    </row>
    <row r="570" spans="1:6" x14ac:dyDescent="0.3">
      <c r="A570" s="7">
        <v>44508</v>
      </c>
      <c r="B570" s="3">
        <v>7119</v>
      </c>
      <c r="C570" s="3">
        <v>4687</v>
      </c>
      <c r="D570" s="3">
        <f t="shared" si="24"/>
        <v>2432</v>
      </c>
      <c r="E570" s="5">
        <f t="shared" si="25"/>
        <v>0.65837898581261411</v>
      </c>
      <c r="F570" s="5">
        <f t="shared" si="26"/>
        <v>8.6950414384042718E-2</v>
      </c>
    </row>
    <row r="571" spans="1:6" x14ac:dyDescent="0.3">
      <c r="A571" s="7">
        <v>44515</v>
      </c>
      <c r="B571" s="3">
        <v>7123</v>
      </c>
      <c r="C571" s="3">
        <v>5607</v>
      </c>
      <c r="D571" s="3">
        <f t="shared" si="24"/>
        <v>1516</v>
      </c>
      <c r="E571" s="5">
        <f t="shared" si="25"/>
        <v>0.78716832795170577</v>
      </c>
      <c r="F571" s="5">
        <f t="shared" si="26"/>
        <v>0.21573975652313437</v>
      </c>
    </row>
    <row r="572" spans="1:6" x14ac:dyDescent="0.3">
      <c r="A572" s="7">
        <v>44522</v>
      </c>
      <c r="B572" s="3">
        <v>6961</v>
      </c>
      <c r="C572" s="3">
        <v>4854</v>
      </c>
      <c r="D572" s="3">
        <f t="shared" si="24"/>
        <v>2107</v>
      </c>
      <c r="E572" s="5">
        <f t="shared" si="25"/>
        <v>0.69731360436718859</v>
      </c>
      <c r="F572" s="5">
        <f t="shared" si="26"/>
        <v>0.12588503293861719</v>
      </c>
    </row>
    <row r="573" spans="1:6" x14ac:dyDescent="0.3">
      <c r="A573" s="7">
        <v>44529</v>
      </c>
      <c r="B573" s="3">
        <v>7110</v>
      </c>
      <c r="C573" s="3">
        <v>2728</v>
      </c>
      <c r="D573" s="3">
        <f t="shared" si="24"/>
        <v>4382</v>
      </c>
      <c r="E573" s="5">
        <f t="shared" si="25"/>
        <v>0.38368495077355835</v>
      </c>
      <c r="F573" s="5">
        <f t="shared" si="26"/>
        <v>-0.18774362065501304</v>
      </c>
    </row>
    <row r="574" spans="1:6" x14ac:dyDescent="0.3">
      <c r="A574" s="7">
        <v>44536</v>
      </c>
      <c r="B574" s="3">
        <v>7071</v>
      </c>
      <c r="C574" s="3">
        <v>4461</v>
      </c>
      <c r="D574" s="3">
        <f t="shared" si="24"/>
        <v>2610</v>
      </c>
      <c r="E574" s="5">
        <f t="shared" si="25"/>
        <v>0.63088672040729743</v>
      </c>
      <c r="F574" s="5">
        <f t="shared" si="26"/>
        <v>5.9458148978726033E-2</v>
      </c>
    </row>
    <row r="575" spans="1:6" x14ac:dyDescent="0.3">
      <c r="A575" s="7">
        <v>44543</v>
      </c>
      <c r="B575" s="3">
        <v>7074</v>
      </c>
      <c r="C575" s="3">
        <v>3143</v>
      </c>
      <c r="D575" s="3">
        <f t="shared" si="24"/>
        <v>3931</v>
      </c>
      <c r="E575" s="5">
        <f t="shared" si="25"/>
        <v>0.44430308170766186</v>
      </c>
      <c r="F575" s="5">
        <f t="shared" si="26"/>
        <v>-0.12712548972090953</v>
      </c>
    </row>
    <row r="576" spans="1:6" x14ac:dyDescent="0.3">
      <c r="A576" s="7">
        <v>44550</v>
      </c>
      <c r="B576" s="3">
        <v>6888</v>
      </c>
      <c r="C576" s="3">
        <v>4565</v>
      </c>
      <c r="D576" s="3">
        <f t="shared" si="24"/>
        <v>2323</v>
      </c>
      <c r="E576" s="5">
        <f t="shared" si="25"/>
        <v>0.66274680603948899</v>
      </c>
      <c r="F576" s="5">
        <f t="shared" si="26"/>
        <v>9.1318234610917592E-2</v>
      </c>
    </row>
    <row r="577" spans="1:6" x14ac:dyDescent="0.3">
      <c r="A577" s="7">
        <v>44557</v>
      </c>
      <c r="B577" s="3">
        <v>6835</v>
      </c>
      <c r="C577" s="3">
        <v>3189</v>
      </c>
      <c r="D577" s="3">
        <f t="shared" si="24"/>
        <v>3646</v>
      </c>
      <c r="E577" s="5">
        <f t="shared" si="25"/>
        <v>0.46656912948061446</v>
      </c>
      <c r="F577" s="5">
        <f t="shared" si="26"/>
        <v>-0.10485944194795693</v>
      </c>
    </row>
    <row r="578" spans="1:6" x14ac:dyDescent="0.3">
      <c r="A578" s="7">
        <v>44564</v>
      </c>
      <c r="B578" s="3">
        <v>7097</v>
      </c>
      <c r="C578" s="3">
        <v>4107</v>
      </c>
      <c r="D578" s="3">
        <f t="shared" si="24"/>
        <v>2990</v>
      </c>
      <c r="E578" s="5">
        <f t="shared" si="25"/>
        <v>0.57869522333380297</v>
      </c>
      <c r="F578" s="5">
        <f t="shared" si="26"/>
        <v>7.2666519052315692E-3</v>
      </c>
    </row>
    <row r="579" spans="1:6" x14ac:dyDescent="0.3">
      <c r="A579" s="7">
        <v>44571</v>
      </c>
      <c r="B579" s="3">
        <v>7081</v>
      </c>
      <c r="C579" s="3">
        <v>4174</v>
      </c>
      <c r="D579" s="3">
        <f t="shared" si="24"/>
        <v>2907</v>
      </c>
      <c r="E579" s="5">
        <f t="shared" si="25"/>
        <v>0.58946476486371979</v>
      </c>
      <c r="F579" s="5">
        <f t="shared" si="26"/>
        <v>1.8036193435148395E-2</v>
      </c>
    </row>
    <row r="580" spans="1:6" x14ac:dyDescent="0.3">
      <c r="A580" s="7">
        <v>44578</v>
      </c>
      <c r="B580" s="3">
        <v>7111</v>
      </c>
      <c r="C580" s="3">
        <v>3727</v>
      </c>
      <c r="D580" s="3">
        <f t="shared" si="24"/>
        <v>3384</v>
      </c>
      <c r="E580" s="5">
        <f t="shared" si="25"/>
        <v>0.52411756433694279</v>
      </c>
      <c r="F580" s="5">
        <f t="shared" si="26"/>
        <v>-4.731100709162861E-2</v>
      </c>
    </row>
    <row r="581" spans="1:6" x14ac:dyDescent="0.3">
      <c r="A581" s="7">
        <v>44585</v>
      </c>
      <c r="B581" s="3">
        <v>7114</v>
      </c>
      <c r="C581" s="3">
        <v>4900</v>
      </c>
      <c r="D581" s="3">
        <f t="shared" si="24"/>
        <v>2214</v>
      </c>
      <c r="E581" s="5">
        <f t="shared" si="25"/>
        <v>0.68878268203542314</v>
      </c>
      <c r="F581" s="5">
        <f t="shared" si="26"/>
        <v>0.11735411060685175</v>
      </c>
    </row>
    <row r="582" spans="1:6" x14ac:dyDescent="0.3">
      <c r="A582" s="7">
        <v>44592</v>
      </c>
      <c r="B582" s="3">
        <v>7094</v>
      </c>
      <c r="C582" s="3">
        <v>4040</v>
      </c>
      <c r="D582" s="3">
        <f t="shared" si="24"/>
        <v>3054</v>
      </c>
      <c r="E582" s="5">
        <f t="shared" si="25"/>
        <v>0.56949534818156189</v>
      </c>
      <c r="F582" s="5">
        <f t="shared" si="26"/>
        <v>-1.9332232470095079E-3</v>
      </c>
    </row>
    <row r="583" spans="1:6" x14ac:dyDescent="0.3">
      <c r="A583" s="7">
        <v>44599</v>
      </c>
      <c r="B583" s="3">
        <v>7105</v>
      </c>
      <c r="C583" s="3">
        <v>3413</v>
      </c>
      <c r="D583" s="3">
        <f t="shared" si="24"/>
        <v>3692</v>
      </c>
      <c r="E583" s="5">
        <f t="shared" si="25"/>
        <v>0.48036593947923995</v>
      </c>
      <c r="F583" s="5">
        <f t="shared" si="26"/>
        <v>-9.1062631949331452E-2</v>
      </c>
    </row>
    <row r="584" spans="1:6" x14ac:dyDescent="0.3">
      <c r="A584" s="7">
        <v>44606</v>
      </c>
      <c r="B584" s="3">
        <v>7129</v>
      </c>
      <c r="C584" s="3">
        <v>3827</v>
      </c>
      <c r="D584" s="3">
        <f t="shared" si="24"/>
        <v>3302</v>
      </c>
      <c r="E584" s="5">
        <f t="shared" si="25"/>
        <v>0.53682143358114742</v>
      </c>
      <c r="F584" s="5">
        <f t="shared" si="26"/>
        <v>-3.4607137847423974E-2</v>
      </c>
    </row>
    <row r="585" spans="1:6" x14ac:dyDescent="0.3">
      <c r="A585" s="7">
        <v>44613</v>
      </c>
      <c r="B585" s="3">
        <v>7136</v>
      </c>
      <c r="C585" s="3">
        <v>4045</v>
      </c>
      <c r="D585" s="3">
        <f t="shared" ref="D585:D648" si="27">B585-C585</f>
        <v>3091</v>
      </c>
      <c r="E585" s="5">
        <f t="shared" ref="E585:E648" si="28">C585/B585</f>
        <v>0.56684417040358748</v>
      </c>
      <c r="F585" s="5">
        <f t="shared" ref="F585:F648" si="29">E585-$B$6</f>
        <v>-4.5844010249839195E-3</v>
      </c>
    </row>
    <row r="586" spans="1:6" x14ac:dyDescent="0.3">
      <c r="A586" s="7">
        <v>44620</v>
      </c>
      <c r="B586" s="3">
        <v>7148</v>
      </c>
      <c r="C586" s="3">
        <v>4928</v>
      </c>
      <c r="D586" s="3">
        <f t="shared" si="27"/>
        <v>2220</v>
      </c>
      <c r="E586" s="5">
        <f t="shared" si="28"/>
        <v>0.68942361499720206</v>
      </c>
      <c r="F586" s="5">
        <f t="shared" si="29"/>
        <v>0.11799504356863066</v>
      </c>
    </row>
    <row r="587" spans="1:6" x14ac:dyDescent="0.3">
      <c r="A587" s="7">
        <v>44627</v>
      </c>
      <c r="B587" s="3">
        <v>7145</v>
      </c>
      <c r="C587" s="3">
        <v>3898</v>
      </c>
      <c r="D587" s="3">
        <f t="shared" si="27"/>
        <v>3247</v>
      </c>
      <c r="E587" s="5">
        <f t="shared" si="28"/>
        <v>0.54555633310007001</v>
      </c>
      <c r="F587" s="5">
        <f t="shared" si="29"/>
        <v>-2.5872238328501385E-2</v>
      </c>
    </row>
    <row r="588" spans="1:6" x14ac:dyDescent="0.3">
      <c r="A588" s="7">
        <v>44634</v>
      </c>
      <c r="B588" s="3">
        <v>7067</v>
      </c>
      <c r="C588" s="3">
        <v>4402</v>
      </c>
      <c r="D588" s="3">
        <f t="shared" si="27"/>
        <v>2665</v>
      </c>
      <c r="E588" s="5">
        <f t="shared" si="28"/>
        <v>0.62289514645535593</v>
      </c>
      <c r="F588" s="5">
        <f t="shared" si="29"/>
        <v>5.1466575026784533E-2</v>
      </c>
    </row>
    <row r="589" spans="1:6" x14ac:dyDescent="0.3">
      <c r="A589" s="7">
        <v>44641</v>
      </c>
      <c r="B589" s="3">
        <v>7067</v>
      </c>
      <c r="C589" s="3">
        <v>3721</v>
      </c>
      <c r="D589" s="3">
        <f t="shared" si="27"/>
        <v>3346</v>
      </c>
      <c r="E589" s="5">
        <f t="shared" si="28"/>
        <v>0.52653176736946372</v>
      </c>
      <c r="F589" s="5">
        <f t="shared" si="29"/>
        <v>-4.4896804059107676E-2</v>
      </c>
    </row>
    <row r="590" spans="1:6" x14ac:dyDescent="0.3">
      <c r="A590" s="7">
        <v>44648</v>
      </c>
      <c r="B590" s="3">
        <v>7105</v>
      </c>
      <c r="C590" s="3">
        <v>4973</v>
      </c>
      <c r="D590" s="3">
        <f t="shared" si="27"/>
        <v>2132</v>
      </c>
      <c r="E590" s="5">
        <f t="shared" si="28"/>
        <v>0.69992962702322303</v>
      </c>
      <c r="F590" s="5">
        <f t="shared" si="29"/>
        <v>0.12850105559465164</v>
      </c>
    </row>
    <row r="591" spans="1:6" x14ac:dyDescent="0.3">
      <c r="A591" s="7">
        <v>44655</v>
      </c>
      <c r="B591" s="3">
        <v>7103</v>
      </c>
      <c r="C591" s="3">
        <v>3556</v>
      </c>
      <c r="D591" s="3">
        <f t="shared" si="27"/>
        <v>3547</v>
      </c>
      <c r="E591" s="5">
        <f t="shared" si="28"/>
        <v>0.50063353512600306</v>
      </c>
      <c r="F591" s="5">
        <f t="shared" si="29"/>
        <v>-7.0795036302568337E-2</v>
      </c>
    </row>
    <row r="592" spans="1:6" x14ac:dyDescent="0.3">
      <c r="A592" s="7">
        <v>44662</v>
      </c>
      <c r="B592" s="3">
        <v>7067</v>
      </c>
      <c r="C592" s="3">
        <v>3213</v>
      </c>
      <c r="D592" s="3">
        <f t="shared" si="27"/>
        <v>3854</v>
      </c>
      <c r="E592" s="5">
        <f t="shared" si="28"/>
        <v>0.45464836564313005</v>
      </c>
      <c r="F592" s="5">
        <f t="shared" si="29"/>
        <v>-0.11678020578544135</v>
      </c>
    </row>
    <row r="593" spans="1:6" x14ac:dyDescent="0.3">
      <c r="A593" s="7">
        <v>44669</v>
      </c>
      <c r="B593" s="3">
        <v>7111</v>
      </c>
      <c r="C593" s="3">
        <v>4299</v>
      </c>
      <c r="D593" s="3">
        <f t="shared" si="27"/>
        <v>2812</v>
      </c>
      <c r="E593" s="5">
        <f t="shared" si="28"/>
        <v>0.60455632119251868</v>
      </c>
      <c r="F593" s="5">
        <f t="shared" si="29"/>
        <v>3.3127749763947278E-2</v>
      </c>
    </row>
    <row r="594" spans="1:6" x14ac:dyDescent="0.3">
      <c r="A594" s="7">
        <v>44676</v>
      </c>
      <c r="B594" s="3">
        <v>7138</v>
      </c>
      <c r="C594" s="3">
        <v>5137</v>
      </c>
      <c r="D594" s="3">
        <f t="shared" si="27"/>
        <v>2001</v>
      </c>
      <c r="E594" s="5">
        <f t="shared" si="28"/>
        <v>0.71966937517511909</v>
      </c>
      <c r="F594" s="5">
        <f t="shared" si="29"/>
        <v>0.14824080374654769</v>
      </c>
    </row>
    <row r="595" spans="1:6" x14ac:dyDescent="0.3">
      <c r="A595" s="7">
        <v>44683</v>
      </c>
      <c r="B595" s="3">
        <v>7096</v>
      </c>
      <c r="C595" s="3">
        <v>3986</v>
      </c>
      <c r="D595" s="3">
        <f t="shared" si="27"/>
        <v>3110</v>
      </c>
      <c r="E595" s="5">
        <f t="shared" si="28"/>
        <v>0.56172491544532133</v>
      </c>
      <c r="F595" s="5">
        <f t="shared" si="29"/>
        <v>-9.7036559832500702E-3</v>
      </c>
    </row>
    <row r="596" spans="1:6" x14ac:dyDescent="0.3">
      <c r="A596" s="7">
        <v>44690</v>
      </c>
      <c r="B596" s="3">
        <v>7127</v>
      </c>
      <c r="C596" s="3">
        <v>3500</v>
      </c>
      <c r="D596" s="3">
        <f t="shared" si="27"/>
        <v>3627</v>
      </c>
      <c r="E596" s="5">
        <f t="shared" si="28"/>
        <v>0.49109022028904165</v>
      </c>
      <c r="F596" s="5">
        <f t="shared" si="29"/>
        <v>-8.0338351139529751E-2</v>
      </c>
    </row>
    <row r="597" spans="1:6" x14ac:dyDescent="0.3">
      <c r="A597" s="7">
        <v>44697</v>
      </c>
      <c r="B597" s="3">
        <v>7115</v>
      </c>
      <c r="C597" s="3">
        <v>4385</v>
      </c>
      <c r="D597" s="3">
        <f t="shared" si="27"/>
        <v>2730</v>
      </c>
      <c r="E597" s="5">
        <f t="shared" si="28"/>
        <v>0.61630358397751228</v>
      </c>
      <c r="F597" s="5">
        <f t="shared" si="29"/>
        <v>4.4875012548940885E-2</v>
      </c>
    </row>
    <row r="598" spans="1:6" x14ac:dyDescent="0.3">
      <c r="A598" s="7">
        <v>44704</v>
      </c>
      <c r="B598" s="3">
        <v>7077</v>
      </c>
      <c r="C598" s="3">
        <v>4389</v>
      </c>
      <c r="D598" s="3">
        <f t="shared" si="27"/>
        <v>2688</v>
      </c>
      <c r="E598" s="5">
        <f t="shared" si="28"/>
        <v>0.62017804154302669</v>
      </c>
      <c r="F598" s="5">
        <f t="shared" si="29"/>
        <v>4.8749470114455296E-2</v>
      </c>
    </row>
    <row r="599" spans="1:6" x14ac:dyDescent="0.3">
      <c r="A599" s="7">
        <v>44711</v>
      </c>
      <c r="B599" s="3">
        <v>7115</v>
      </c>
      <c r="C599" s="3">
        <v>5078</v>
      </c>
      <c r="D599" s="3">
        <f t="shared" si="27"/>
        <v>2037</v>
      </c>
      <c r="E599" s="5">
        <f t="shared" si="28"/>
        <v>0.71370344342937453</v>
      </c>
      <c r="F599" s="5">
        <f t="shared" si="29"/>
        <v>0.14227487200080313</v>
      </c>
    </row>
    <row r="600" spans="1:6" x14ac:dyDescent="0.3">
      <c r="A600" s="7">
        <v>44718</v>
      </c>
      <c r="B600" s="3">
        <v>7108</v>
      </c>
      <c r="C600" s="3">
        <v>2861</v>
      </c>
      <c r="D600" s="3">
        <f t="shared" si="27"/>
        <v>4247</v>
      </c>
      <c r="E600" s="5">
        <f t="shared" si="28"/>
        <v>0.40250422059651098</v>
      </c>
      <c r="F600" s="5">
        <f t="shared" si="29"/>
        <v>-0.16892435083206042</v>
      </c>
    </row>
    <row r="601" spans="1:6" x14ac:dyDescent="0.3">
      <c r="A601" s="7">
        <v>44725</v>
      </c>
      <c r="B601" s="3">
        <v>7115</v>
      </c>
      <c r="C601" s="3">
        <v>4986</v>
      </c>
      <c r="D601" s="3">
        <f t="shared" si="27"/>
        <v>2129</v>
      </c>
      <c r="E601" s="5">
        <f t="shared" si="28"/>
        <v>0.70077301475755449</v>
      </c>
      <c r="F601" s="5">
        <f t="shared" si="29"/>
        <v>0.12934444332898309</v>
      </c>
    </row>
    <row r="602" spans="1:6" x14ac:dyDescent="0.3">
      <c r="A602" s="7">
        <v>44732</v>
      </c>
      <c r="B602" s="3">
        <v>7119</v>
      </c>
      <c r="C602" s="3">
        <v>5055</v>
      </c>
      <c r="D602" s="3">
        <f t="shared" si="27"/>
        <v>2064</v>
      </c>
      <c r="E602" s="5">
        <f t="shared" si="28"/>
        <v>0.71007163927517913</v>
      </c>
      <c r="F602" s="5">
        <f t="shared" si="29"/>
        <v>0.13864306784660774</v>
      </c>
    </row>
    <row r="603" spans="1:6" x14ac:dyDescent="0.3">
      <c r="A603" s="7">
        <v>44739</v>
      </c>
      <c r="B603" s="3">
        <v>7124</v>
      </c>
      <c r="C603" s="3">
        <v>4284</v>
      </c>
      <c r="D603" s="3">
        <f t="shared" si="27"/>
        <v>2840</v>
      </c>
      <c r="E603" s="5">
        <f t="shared" si="28"/>
        <v>0.60134755755193714</v>
      </c>
      <c r="F603" s="5">
        <f t="shared" si="29"/>
        <v>2.9918986123365743E-2</v>
      </c>
    </row>
    <row r="604" spans="1:6" x14ac:dyDescent="0.3">
      <c r="A604" s="7">
        <v>44746</v>
      </c>
      <c r="B604" s="3">
        <v>7104</v>
      </c>
      <c r="C604" s="3">
        <v>3632</v>
      </c>
      <c r="D604" s="3">
        <f t="shared" si="27"/>
        <v>3472</v>
      </c>
      <c r="E604" s="5">
        <f t="shared" si="28"/>
        <v>0.51126126126126126</v>
      </c>
      <c r="F604" s="5">
        <f t="shared" si="29"/>
        <v>-6.016731016731014E-2</v>
      </c>
    </row>
    <row r="605" spans="1:6" x14ac:dyDescent="0.3">
      <c r="A605" s="7">
        <v>44753</v>
      </c>
      <c r="B605" s="3">
        <v>7130</v>
      </c>
      <c r="C605" s="3">
        <v>4439</v>
      </c>
      <c r="D605" s="3">
        <f t="shared" si="27"/>
        <v>2691</v>
      </c>
      <c r="E605" s="5">
        <f t="shared" si="28"/>
        <v>0.6225806451612903</v>
      </c>
      <c r="F605" s="5">
        <f t="shared" si="29"/>
        <v>5.1152073732718906E-2</v>
      </c>
    </row>
    <row r="606" spans="1:6" x14ac:dyDescent="0.3">
      <c r="A606" s="7">
        <v>44760</v>
      </c>
      <c r="B606" s="3">
        <v>7117</v>
      </c>
      <c r="C606" s="3">
        <v>3496</v>
      </c>
      <c r="D606" s="3">
        <f t="shared" si="27"/>
        <v>3621</v>
      </c>
      <c r="E606" s="5">
        <f t="shared" si="28"/>
        <v>0.49121820991991005</v>
      </c>
      <c r="F606" s="5">
        <f t="shared" si="29"/>
        <v>-8.0210361508661343E-2</v>
      </c>
    </row>
    <row r="607" spans="1:6" x14ac:dyDescent="0.3">
      <c r="A607" s="7">
        <v>44767</v>
      </c>
      <c r="B607" s="3">
        <v>7125</v>
      </c>
      <c r="C607" s="3">
        <v>3285</v>
      </c>
      <c r="D607" s="3">
        <f t="shared" si="27"/>
        <v>3840</v>
      </c>
      <c r="E607" s="5">
        <f t="shared" si="28"/>
        <v>0.46105263157894738</v>
      </c>
      <c r="F607" s="5">
        <f t="shared" si="29"/>
        <v>-0.11037593984962402</v>
      </c>
    </row>
    <row r="608" spans="1:6" x14ac:dyDescent="0.3">
      <c r="A608" s="7">
        <v>44774</v>
      </c>
      <c r="B608" s="3">
        <v>7134</v>
      </c>
      <c r="C608" s="3">
        <v>4606</v>
      </c>
      <c r="D608" s="3">
        <f t="shared" si="27"/>
        <v>2528</v>
      </c>
      <c r="E608" s="5">
        <f t="shared" si="28"/>
        <v>0.64564059433697785</v>
      </c>
      <c r="F608" s="5">
        <f t="shared" si="29"/>
        <v>7.421202290840645E-2</v>
      </c>
    </row>
    <row r="609" spans="1:6" x14ac:dyDescent="0.3">
      <c r="A609" s="7">
        <v>44781</v>
      </c>
      <c r="B609" s="3">
        <v>7117</v>
      </c>
      <c r="C609" s="3">
        <v>5513</v>
      </c>
      <c r="D609" s="3">
        <f t="shared" si="27"/>
        <v>1604</v>
      </c>
      <c r="E609" s="5">
        <f t="shared" si="28"/>
        <v>0.7746241393845722</v>
      </c>
      <c r="F609" s="5">
        <f t="shared" si="29"/>
        <v>0.2031955679560008</v>
      </c>
    </row>
    <row r="610" spans="1:6" x14ac:dyDescent="0.3">
      <c r="A610" s="7">
        <v>44788</v>
      </c>
      <c r="B610" s="3">
        <v>7124</v>
      </c>
      <c r="C610" s="3">
        <v>4024</v>
      </c>
      <c r="D610" s="3">
        <f t="shared" si="27"/>
        <v>3100</v>
      </c>
      <c r="E610" s="5">
        <f t="shared" si="28"/>
        <v>0.56485120718697357</v>
      </c>
      <c r="F610" s="5">
        <f t="shared" si="29"/>
        <v>-6.5773642415978273E-3</v>
      </c>
    </row>
    <row r="611" spans="1:6" x14ac:dyDescent="0.3">
      <c r="A611" s="7">
        <v>44795</v>
      </c>
      <c r="B611" s="3">
        <v>7125</v>
      </c>
      <c r="C611" s="3">
        <v>3931</v>
      </c>
      <c r="D611" s="3">
        <f t="shared" si="27"/>
        <v>3194</v>
      </c>
      <c r="E611" s="5">
        <f t="shared" si="28"/>
        <v>0.55171929824561405</v>
      </c>
      <c r="F611" s="5">
        <f t="shared" si="29"/>
        <v>-1.9709273182957343E-2</v>
      </c>
    </row>
    <row r="612" spans="1:6" x14ac:dyDescent="0.3">
      <c r="A612" s="7">
        <v>44802</v>
      </c>
      <c r="B612" s="3">
        <v>7129</v>
      </c>
      <c r="C612" s="3">
        <v>4568</v>
      </c>
      <c r="D612" s="3">
        <f t="shared" si="27"/>
        <v>2561</v>
      </c>
      <c r="E612" s="5">
        <f t="shared" si="28"/>
        <v>0.64076308037592933</v>
      </c>
      <c r="F612" s="5">
        <f t="shared" si="29"/>
        <v>6.9334508947357931E-2</v>
      </c>
    </row>
    <row r="613" spans="1:6" x14ac:dyDescent="0.3">
      <c r="A613" s="7">
        <v>44809</v>
      </c>
      <c r="B613" s="3">
        <v>7132</v>
      </c>
      <c r="C613" s="3">
        <v>3709</v>
      </c>
      <c r="D613" s="3">
        <f t="shared" si="27"/>
        <v>3423</v>
      </c>
      <c r="E613" s="5">
        <f t="shared" si="28"/>
        <v>0.52005047672462146</v>
      </c>
      <c r="F613" s="5">
        <f t="shared" si="29"/>
        <v>-5.1378094703949939E-2</v>
      </c>
    </row>
    <row r="614" spans="1:6" x14ac:dyDescent="0.3">
      <c r="A614" s="7">
        <v>44816</v>
      </c>
      <c r="B614" s="3">
        <v>7148</v>
      </c>
      <c r="C614" s="3">
        <v>3384</v>
      </c>
      <c r="D614" s="3">
        <f t="shared" si="27"/>
        <v>3764</v>
      </c>
      <c r="E614" s="5">
        <f t="shared" si="28"/>
        <v>0.47341913822048126</v>
      </c>
      <c r="F614" s="5">
        <f t="shared" si="29"/>
        <v>-9.8009433208090135E-2</v>
      </c>
    </row>
    <row r="615" spans="1:6" x14ac:dyDescent="0.3">
      <c r="A615" s="7">
        <v>44823</v>
      </c>
      <c r="B615" s="3">
        <v>7153</v>
      </c>
      <c r="C615" s="3">
        <v>5098</v>
      </c>
      <c r="D615" s="3">
        <f t="shared" si="27"/>
        <v>2055</v>
      </c>
      <c r="E615" s="5">
        <f t="shared" si="28"/>
        <v>0.71270795470431991</v>
      </c>
      <c r="F615" s="5">
        <f t="shared" si="29"/>
        <v>0.14127938327574852</v>
      </c>
    </row>
    <row r="616" spans="1:6" x14ac:dyDescent="0.3">
      <c r="A616" s="7">
        <v>44830</v>
      </c>
      <c r="B616" s="3">
        <v>7151</v>
      </c>
      <c r="C616" s="3">
        <v>3818</v>
      </c>
      <c r="D616" s="3">
        <f t="shared" si="27"/>
        <v>3333</v>
      </c>
      <c r="E616" s="5">
        <f t="shared" si="28"/>
        <v>0.53391134107117888</v>
      </c>
      <c r="F616" s="5">
        <f t="shared" si="29"/>
        <v>-3.7517230357392517E-2</v>
      </c>
    </row>
    <row r="617" spans="1:6" x14ac:dyDescent="0.3">
      <c r="A617" s="7">
        <v>44837</v>
      </c>
      <c r="B617" s="3">
        <v>7146</v>
      </c>
      <c r="C617" s="3">
        <v>4579</v>
      </c>
      <c r="D617" s="3">
        <f t="shared" si="27"/>
        <v>2567</v>
      </c>
      <c r="E617" s="5">
        <f t="shared" si="28"/>
        <v>0.64077805765463192</v>
      </c>
      <c r="F617" s="5">
        <f t="shared" si="29"/>
        <v>6.9349486226060519E-2</v>
      </c>
    </row>
    <row r="618" spans="1:6" x14ac:dyDescent="0.3">
      <c r="A618" s="7">
        <v>44844</v>
      </c>
      <c r="B618" s="3">
        <v>7138</v>
      </c>
      <c r="C618" s="3">
        <v>3261</v>
      </c>
      <c r="D618" s="3">
        <f t="shared" si="27"/>
        <v>3877</v>
      </c>
      <c r="E618" s="5">
        <f t="shared" si="28"/>
        <v>0.45685065844774447</v>
      </c>
      <c r="F618" s="5">
        <f t="shared" si="29"/>
        <v>-0.11457791298082692</v>
      </c>
    </row>
    <row r="619" spans="1:6" x14ac:dyDescent="0.3">
      <c r="A619" s="7">
        <v>44851</v>
      </c>
      <c r="B619" s="3">
        <v>7152</v>
      </c>
      <c r="C619" s="3">
        <v>3813</v>
      </c>
      <c r="D619" s="3">
        <f t="shared" si="27"/>
        <v>3339</v>
      </c>
      <c r="E619" s="5">
        <f t="shared" si="28"/>
        <v>0.53313758389261745</v>
      </c>
      <c r="F619" s="5">
        <f t="shared" si="29"/>
        <v>-3.8290987535953946E-2</v>
      </c>
    </row>
    <row r="620" spans="1:6" x14ac:dyDescent="0.3">
      <c r="A620" s="7">
        <v>44858</v>
      </c>
      <c r="B620" s="3">
        <v>7142</v>
      </c>
      <c r="C620" s="3">
        <v>3661</v>
      </c>
      <c r="D620" s="3">
        <f t="shared" si="27"/>
        <v>3481</v>
      </c>
      <c r="E620" s="5">
        <f t="shared" si="28"/>
        <v>0.51260151218146177</v>
      </c>
      <c r="F620" s="5">
        <f t="shared" si="29"/>
        <v>-5.8827059247109625E-2</v>
      </c>
    </row>
    <row r="621" spans="1:6" x14ac:dyDescent="0.3">
      <c r="A621" s="7">
        <v>44865</v>
      </c>
      <c r="B621" s="3">
        <v>7076</v>
      </c>
      <c r="C621" s="3">
        <v>4277</v>
      </c>
      <c r="D621" s="3">
        <f t="shared" si="27"/>
        <v>2799</v>
      </c>
      <c r="E621" s="5">
        <f t="shared" si="28"/>
        <v>0.60443753533069533</v>
      </c>
      <c r="F621" s="5">
        <f t="shared" si="29"/>
        <v>3.3008963902123933E-2</v>
      </c>
    </row>
    <row r="622" spans="1:6" x14ac:dyDescent="0.3">
      <c r="A622" s="7">
        <v>44872</v>
      </c>
      <c r="B622" s="3">
        <v>7163</v>
      </c>
      <c r="C622" s="3">
        <v>4220</v>
      </c>
      <c r="D622" s="3">
        <f t="shared" si="27"/>
        <v>2943</v>
      </c>
      <c r="E622" s="5">
        <f t="shared" si="28"/>
        <v>0.58913862906603376</v>
      </c>
      <c r="F622" s="5">
        <f t="shared" si="29"/>
        <v>1.7710057637462362E-2</v>
      </c>
    </row>
    <row r="623" spans="1:6" x14ac:dyDescent="0.3">
      <c r="A623" s="7">
        <v>44879</v>
      </c>
      <c r="B623" s="3">
        <v>7150</v>
      </c>
      <c r="C623" s="3">
        <v>3952</v>
      </c>
      <c r="D623" s="3">
        <f t="shared" si="27"/>
        <v>3198</v>
      </c>
      <c r="E623" s="5">
        <f t="shared" si="28"/>
        <v>0.55272727272727273</v>
      </c>
      <c r="F623" s="5">
        <f t="shared" si="29"/>
        <v>-1.8701298701298663E-2</v>
      </c>
    </row>
    <row r="624" spans="1:6" x14ac:dyDescent="0.3">
      <c r="A624" s="7">
        <v>44886</v>
      </c>
      <c r="B624" s="3">
        <v>7112</v>
      </c>
      <c r="C624" s="3">
        <v>5183</v>
      </c>
      <c r="D624" s="3">
        <f t="shared" si="27"/>
        <v>1929</v>
      </c>
      <c r="E624" s="5">
        <f t="shared" si="28"/>
        <v>0.72876827896512941</v>
      </c>
      <c r="F624" s="5">
        <f t="shared" si="29"/>
        <v>0.15733970753655802</v>
      </c>
    </row>
    <row r="625" spans="1:6" x14ac:dyDescent="0.3">
      <c r="A625" s="7">
        <v>44893</v>
      </c>
      <c r="B625" s="3">
        <v>7163</v>
      </c>
      <c r="C625" s="3">
        <v>4096</v>
      </c>
      <c r="D625" s="3">
        <f t="shared" si="27"/>
        <v>3067</v>
      </c>
      <c r="E625" s="5">
        <f t="shared" si="28"/>
        <v>0.57182744660058638</v>
      </c>
      <c r="F625" s="5">
        <f t="shared" si="29"/>
        <v>3.9887517201497857E-4</v>
      </c>
    </row>
    <row r="626" spans="1:6" x14ac:dyDescent="0.3">
      <c r="A626" s="7">
        <v>44900</v>
      </c>
      <c r="B626" s="3">
        <v>7128</v>
      </c>
      <c r="C626" s="3">
        <v>3182</v>
      </c>
      <c r="D626" s="3">
        <f t="shared" si="27"/>
        <v>3946</v>
      </c>
      <c r="E626" s="5">
        <f t="shared" si="28"/>
        <v>0.44640852974186307</v>
      </c>
      <c r="F626" s="5">
        <f t="shared" si="29"/>
        <v>-0.12502004168670833</v>
      </c>
    </row>
    <row r="627" spans="1:6" x14ac:dyDescent="0.3">
      <c r="A627" s="7">
        <v>44907</v>
      </c>
      <c r="B627" s="3">
        <v>7141</v>
      </c>
      <c r="C627" s="3">
        <v>4464</v>
      </c>
      <c r="D627" s="3">
        <f t="shared" si="27"/>
        <v>2677</v>
      </c>
      <c r="E627" s="5">
        <f t="shared" si="28"/>
        <v>0.62512253185828315</v>
      </c>
      <c r="F627" s="5">
        <f t="shared" si="29"/>
        <v>5.3693960429711751E-2</v>
      </c>
    </row>
    <row r="628" spans="1:6" x14ac:dyDescent="0.3">
      <c r="A628" s="7">
        <v>44914</v>
      </c>
      <c r="B628" s="3">
        <v>7148</v>
      </c>
      <c r="C628" s="3">
        <v>3279</v>
      </c>
      <c r="D628" s="3">
        <f t="shared" si="27"/>
        <v>3869</v>
      </c>
      <c r="E628" s="5">
        <f t="shared" si="28"/>
        <v>0.45872971460548406</v>
      </c>
      <c r="F628" s="5">
        <f t="shared" si="29"/>
        <v>-0.11269885682308733</v>
      </c>
    </row>
    <row r="629" spans="1:6" x14ac:dyDescent="0.3">
      <c r="A629" s="7">
        <v>44921</v>
      </c>
      <c r="B629" s="3">
        <v>6667</v>
      </c>
      <c r="C629" s="3">
        <v>2644</v>
      </c>
      <c r="D629" s="3">
        <f t="shared" si="27"/>
        <v>4023</v>
      </c>
      <c r="E629" s="5">
        <f t="shared" si="28"/>
        <v>0.39658017099145043</v>
      </c>
      <c r="F629" s="5">
        <f t="shared" si="29"/>
        <v>-0.17484840043712097</v>
      </c>
    </row>
    <row r="630" spans="1:6" x14ac:dyDescent="0.3">
      <c r="A630" s="7">
        <v>44928</v>
      </c>
      <c r="B630" s="3">
        <v>6989</v>
      </c>
      <c r="C630" s="3">
        <v>4288</v>
      </c>
      <c r="D630" s="3">
        <f t="shared" si="27"/>
        <v>2701</v>
      </c>
      <c r="E630" s="5">
        <f t="shared" si="28"/>
        <v>0.61353555587351549</v>
      </c>
      <c r="F630" s="5">
        <f t="shared" si="29"/>
        <v>4.2106984444944096E-2</v>
      </c>
    </row>
    <row r="631" spans="1:6" x14ac:dyDescent="0.3">
      <c r="A631" s="7">
        <v>44935</v>
      </c>
      <c r="B631" s="3">
        <v>7120</v>
      </c>
      <c r="C631" s="3">
        <v>4243</v>
      </c>
      <c r="D631" s="3">
        <f t="shared" si="27"/>
        <v>2877</v>
      </c>
      <c r="E631" s="5">
        <f t="shared" si="28"/>
        <v>0.59592696629213482</v>
      </c>
      <c r="F631" s="5">
        <f t="shared" si="29"/>
        <v>2.4498394863563422E-2</v>
      </c>
    </row>
    <row r="632" spans="1:6" x14ac:dyDescent="0.3">
      <c r="A632" s="7">
        <v>44942</v>
      </c>
      <c r="B632" s="3">
        <v>7119</v>
      </c>
      <c r="C632" s="3">
        <v>3290</v>
      </c>
      <c r="D632" s="3">
        <f t="shared" si="27"/>
        <v>3829</v>
      </c>
      <c r="E632" s="5">
        <f t="shared" si="28"/>
        <v>0.46214355948869223</v>
      </c>
      <c r="F632" s="5">
        <f t="shared" si="29"/>
        <v>-0.10928501193987916</v>
      </c>
    </row>
    <row r="633" spans="1:6" x14ac:dyDescent="0.3">
      <c r="A633" s="7">
        <v>44949</v>
      </c>
      <c r="B633" s="3">
        <v>7101</v>
      </c>
      <c r="C633" s="3">
        <v>2669</v>
      </c>
      <c r="D633" s="3">
        <f t="shared" si="27"/>
        <v>4432</v>
      </c>
      <c r="E633" s="5">
        <f t="shared" si="28"/>
        <v>0.37586255456977891</v>
      </c>
      <c r="F633" s="5">
        <f t="shared" si="29"/>
        <v>-0.19556601685879249</v>
      </c>
    </row>
    <row r="634" spans="1:6" x14ac:dyDescent="0.3">
      <c r="A634" s="7">
        <v>44956</v>
      </c>
      <c r="B634" s="3">
        <v>7139</v>
      </c>
      <c r="C634" s="3">
        <v>4402</v>
      </c>
      <c r="D634" s="3">
        <f t="shared" si="27"/>
        <v>2737</v>
      </c>
      <c r="E634" s="5">
        <f t="shared" si="28"/>
        <v>0.61661297100434231</v>
      </c>
      <c r="F634" s="5">
        <f t="shared" si="29"/>
        <v>4.5184399575770917E-2</v>
      </c>
    </row>
    <row r="635" spans="1:6" x14ac:dyDescent="0.3">
      <c r="A635" s="7">
        <v>44963</v>
      </c>
      <c r="B635" s="3">
        <v>7146</v>
      </c>
      <c r="C635" s="3">
        <v>4523</v>
      </c>
      <c r="D635" s="3">
        <f t="shared" si="27"/>
        <v>2623</v>
      </c>
      <c r="E635" s="5">
        <f t="shared" si="28"/>
        <v>0.63294150573747554</v>
      </c>
      <c r="F635" s="5">
        <f t="shared" si="29"/>
        <v>6.1512934308904144E-2</v>
      </c>
    </row>
    <row r="636" spans="1:6" x14ac:dyDescent="0.3">
      <c r="A636" s="7">
        <v>44970</v>
      </c>
      <c r="B636" s="3">
        <v>7128</v>
      </c>
      <c r="C636" s="3">
        <v>4750</v>
      </c>
      <c r="D636" s="3">
        <f t="shared" si="27"/>
        <v>2378</v>
      </c>
      <c r="E636" s="5">
        <f t="shared" si="28"/>
        <v>0.66638608305274971</v>
      </c>
      <c r="F636" s="5">
        <f t="shared" si="29"/>
        <v>9.4957511624178315E-2</v>
      </c>
    </row>
    <row r="637" spans="1:6" x14ac:dyDescent="0.3">
      <c r="A637" s="7">
        <v>44977</v>
      </c>
      <c r="B637" s="3">
        <v>7125</v>
      </c>
      <c r="C637" s="3">
        <v>4868</v>
      </c>
      <c r="D637" s="3">
        <f t="shared" si="27"/>
        <v>2257</v>
      </c>
      <c r="E637" s="5">
        <f t="shared" si="28"/>
        <v>0.68322807017543863</v>
      </c>
      <c r="F637" s="5">
        <f t="shared" si="29"/>
        <v>0.11179949874686723</v>
      </c>
    </row>
    <row r="638" spans="1:6" x14ac:dyDescent="0.3">
      <c r="A638" s="7">
        <v>44984</v>
      </c>
      <c r="B638" s="3">
        <v>7141</v>
      </c>
      <c r="C638" s="3">
        <v>4509</v>
      </c>
      <c r="D638" s="3">
        <f t="shared" si="27"/>
        <v>2632</v>
      </c>
      <c r="E638" s="5">
        <f t="shared" si="28"/>
        <v>0.63142417028427389</v>
      </c>
      <c r="F638" s="5">
        <f t="shared" si="29"/>
        <v>5.9995598855702492E-2</v>
      </c>
    </row>
    <row r="639" spans="1:6" x14ac:dyDescent="0.3">
      <c r="A639" s="7">
        <v>44991</v>
      </c>
      <c r="B639" s="3">
        <v>7117</v>
      </c>
      <c r="C639" s="3">
        <v>5522</v>
      </c>
      <c r="D639" s="3">
        <f t="shared" si="27"/>
        <v>1595</v>
      </c>
      <c r="E639" s="5">
        <f t="shared" si="28"/>
        <v>0.77588871715610508</v>
      </c>
      <c r="F639" s="5">
        <f t="shared" si="29"/>
        <v>0.20446014572753368</v>
      </c>
    </row>
    <row r="640" spans="1:6" x14ac:dyDescent="0.3">
      <c r="A640" s="7">
        <v>44998</v>
      </c>
      <c r="B640" s="3">
        <v>7079</v>
      </c>
      <c r="C640" s="3">
        <v>3671</v>
      </c>
      <c r="D640" s="3">
        <f t="shared" si="27"/>
        <v>3408</v>
      </c>
      <c r="E640" s="5">
        <f t="shared" si="28"/>
        <v>0.51857607006639361</v>
      </c>
      <c r="F640" s="5">
        <f t="shared" si="29"/>
        <v>-5.2852501362177784E-2</v>
      </c>
    </row>
    <row r="641" spans="1:6" x14ac:dyDescent="0.3">
      <c r="A641" s="7">
        <v>45005</v>
      </c>
      <c r="B641" s="3">
        <v>7086</v>
      </c>
      <c r="C641" s="3">
        <v>5551</v>
      </c>
      <c r="D641" s="3">
        <f t="shared" si="27"/>
        <v>1535</v>
      </c>
      <c r="E641" s="5">
        <f t="shared" si="28"/>
        <v>0.78337567033587352</v>
      </c>
      <c r="F641" s="5">
        <f t="shared" si="29"/>
        <v>0.21194709890730212</v>
      </c>
    </row>
    <row r="642" spans="1:6" x14ac:dyDescent="0.3">
      <c r="A642" s="7">
        <v>45012</v>
      </c>
      <c r="B642" s="3">
        <v>7122</v>
      </c>
      <c r="C642" s="3">
        <v>4698</v>
      </c>
      <c r="D642" s="3">
        <f t="shared" si="27"/>
        <v>2424</v>
      </c>
      <c r="E642" s="5">
        <f t="shared" si="28"/>
        <v>0.65964616680707666</v>
      </c>
      <c r="F642" s="5">
        <f t="shared" si="29"/>
        <v>8.8217595378505265E-2</v>
      </c>
    </row>
    <row r="643" spans="1:6" x14ac:dyDescent="0.3">
      <c r="A643" s="7">
        <v>45019</v>
      </c>
      <c r="B643" s="3">
        <v>7076</v>
      </c>
      <c r="C643" s="3">
        <v>4643</v>
      </c>
      <c r="D643" s="3">
        <f t="shared" si="27"/>
        <v>2433</v>
      </c>
      <c r="E643" s="5">
        <f t="shared" si="28"/>
        <v>0.65616167326172981</v>
      </c>
      <c r="F643" s="5">
        <f t="shared" si="29"/>
        <v>8.4733101833158408E-2</v>
      </c>
    </row>
    <row r="644" spans="1:6" x14ac:dyDescent="0.3">
      <c r="A644" s="7">
        <v>45026</v>
      </c>
      <c r="B644" s="3">
        <v>7107</v>
      </c>
      <c r="C644" s="3">
        <v>5894</v>
      </c>
      <c r="D644" s="3">
        <f t="shared" si="27"/>
        <v>1213</v>
      </c>
      <c r="E644" s="5">
        <f t="shared" si="28"/>
        <v>0.82932320247643165</v>
      </c>
      <c r="F644" s="5">
        <f t="shared" si="29"/>
        <v>0.25789463104786026</v>
      </c>
    </row>
    <row r="645" spans="1:6" x14ac:dyDescent="0.3">
      <c r="A645" s="7">
        <v>45033</v>
      </c>
      <c r="B645" s="3">
        <v>7079</v>
      </c>
      <c r="C645" s="3">
        <v>3609</v>
      </c>
      <c r="D645" s="3">
        <f t="shared" si="27"/>
        <v>3470</v>
      </c>
      <c r="E645" s="5">
        <f t="shared" si="28"/>
        <v>0.50981777087159208</v>
      </c>
      <c r="F645" s="5">
        <f t="shared" si="29"/>
        <v>-6.1610800556979317E-2</v>
      </c>
    </row>
    <row r="646" spans="1:6" x14ac:dyDescent="0.3">
      <c r="A646" s="7">
        <v>45040</v>
      </c>
      <c r="B646" s="3">
        <v>7132</v>
      </c>
      <c r="C646" s="3">
        <v>4682</v>
      </c>
      <c r="D646" s="3">
        <f t="shared" si="27"/>
        <v>2450</v>
      </c>
      <c r="E646" s="5">
        <f t="shared" si="28"/>
        <v>0.65647784632641615</v>
      </c>
      <c r="F646" s="5">
        <f t="shared" si="29"/>
        <v>8.5049274897844751E-2</v>
      </c>
    </row>
    <row r="647" spans="1:6" x14ac:dyDescent="0.3">
      <c r="A647" s="7">
        <v>45047</v>
      </c>
      <c r="B647" s="3">
        <v>7141</v>
      </c>
      <c r="C647" s="3">
        <v>3240</v>
      </c>
      <c r="D647" s="3">
        <f t="shared" si="27"/>
        <v>3901</v>
      </c>
      <c r="E647" s="5">
        <f t="shared" si="28"/>
        <v>0.45371796667133457</v>
      </c>
      <c r="F647" s="5">
        <f t="shared" si="29"/>
        <v>-0.11771060475723683</v>
      </c>
    </row>
    <row r="648" spans="1:6" x14ac:dyDescent="0.3">
      <c r="A648" s="7">
        <v>45054</v>
      </c>
      <c r="B648" s="3">
        <v>7112</v>
      </c>
      <c r="C648" s="3">
        <v>4551</v>
      </c>
      <c r="D648" s="3">
        <f t="shared" si="27"/>
        <v>2561</v>
      </c>
      <c r="E648" s="5">
        <f t="shared" si="28"/>
        <v>0.6399043869516311</v>
      </c>
      <c r="F648" s="5">
        <f t="shared" si="29"/>
        <v>6.8475815523059702E-2</v>
      </c>
    </row>
    <row r="649" spans="1:6" x14ac:dyDescent="0.3">
      <c r="A649" s="7">
        <v>45061</v>
      </c>
      <c r="B649" s="3">
        <v>7106</v>
      </c>
      <c r="C649" s="3">
        <v>4295</v>
      </c>
      <c r="D649" s="3">
        <f t="shared" ref="D649:D712" si="30">B649-C649</f>
        <v>2811</v>
      </c>
      <c r="E649" s="5">
        <f t="shared" ref="E649:E712" si="31">C649/B649</f>
        <v>0.60441880101322831</v>
      </c>
      <c r="F649" s="5">
        <f t="shared" ref="F649:F712" si="32">E649-$B$6</f>
        <v>3.2990229584656916E-2</v>
      </c>
    </row>
    <row r="650" spans="1:6" x14ac:dyDescent="0.3">
      <c r="A650" s="7">
        <v>45068</v>
      </c>
      <c r="B650" s="3">
        <v>7123</v>
      </c>
      <c r="C650" s="3">
        <v>3677</v>
      </c>
      <c r="D650" s="3">
        <f t="shared" si="30"/>
        <v>3446</v>
      </c>
      <c r="E650" s="5">
        <f t="shared" si="31"/>
        <v>0.51621507791660814</v>
      </c>
      <c r="F650" s="5">
        <f t="shared" si="32"/>
        <v>-5.5213493511963252E-2</v>
      </c>
    </row>
    <row r="651" spans="1:6" x14ac:dyDescent="0.3">
      <c r="A651" s="7">
        <v>45075</v>
      </c>
      <c r="B651" s="3">
        <v>7107</v>
      </c>
      <c r="C651" s="3">
        <v>3905</v>
      </c>
      <c r="D651" s="3">
        <f t="shared" si="30"/>
        <v>3202</v>
      </c>
      <c r="E651" s="5">
        <f t="shared" si="31"/>
        <v>0.54945828056845358</v>
      </c>
      <c r="F651" s="5">
        <f t="shared" si="32"/>
        <v>-2.1970290860117814E-2</v>
      </c>
    </row>
    <row r="652" spans="1:6" x14ac:dyDescent="0.3">
      <c r="A652" s="7">
        <v>45082</v>
      </c>
      <c r="B652" s="3">
        <v>7127</v>
      </c>
      <c r="C652" s="3">
        <v>2947</v>
      </c>
      <c r="D652" s="3">
        <f t="shared" si="30"/>
        <v>4180</v>
      </c>
      <c r="E652" s="5">
        <f t="shared" si="31"/>
        <v>0.41349796548337309</v>
      </c>
      <c r="F652" s="5">
        <f t="shared" si="32"/>
        <v>-0.15793060594519831</v>
      </c>
    </row>
    <row r="653" spans="1:6" x14ac:dyDescent="0.3">
      <c r="A653" s="7">
        <v>45089</v>
      </c>
      <c r="B653" s="3">
        <v>7159</v>
      </c>
      <c r="C653" s="3">
        <v>3937</v>
      </c>
      <c r="D653" s="3">
        <f t="shared" si="30"/>
        <v>3222</v>
      </c>
      <c r="E653" s="5">
        <f t="shared" si="31"/>
        <v>0.54993714205894673</v>
      </c>
      <c r="F653" s="5">
        <f t="shared" si="32"/>
        <v>-2.1491429369624671E-2</v>
      </c>
    </row>
    <row r="654" spans="1:6" x14ac:dyDescent="0.3">
      <c r="A654" s="7">
        <v>45096</v>
      </c>
      <c r="B654" s="3">
        <v>7144</v>
      </c>
      <c r="C654" s="3">
        <v>3889</v>
      </c>
      <c r="D654" s="3">
        <f t="shared" si="30"/>
        <v>3255</v>
      </c>
      <c r="E654" s="5">
        <f t="shared" si="31"/>
        <v>0.54437290033594621</v>
      </c>
      <c r="F654" s="5">
        <f t="shared" si="32"/>
        <v>-2.7055671092625189E-2</v>
      </c>
    </row>
    <row r="655" spans="1:6" x14ac:dyDescent="0.3">
      <c r="A655" s="7">
        <v>45103</v>
      </c>
      <c r="B655" s="3">
        <v>7141</v>
      </c>
      <c r="C655" s="3">
        <v>4185</v>
      </c>
      <c r="D655" s="3">
        <f t="shared" si="30"/>
        <v>2956</v>
      </c>
      <c r="E655" s="5">
        <f t="shared" si="31"/>
        <v>0.58605237361714047</v>
      </c>
      <c r="F655" s="5">
        <f t="shared" si="32"/>
        <v>1.4623802188569068E-2</v>
      </c>
    </row>
    <row r="656" spans="1:6" x14ac:dyDescent="0.3">
      <c r="A656" s="7">
        <v>45110</v>
      </c>
      <c r="B656" s="3">
        <v>7159</v>
      </c>
      <c r="C656" s="3">
        <v>3719</v>
      </c>
      <c r="D656" s="3">
        <f t="shared" si="30"/>
        <v>3440</v>
      </c>
      <c r="E656" s="5">
        <f t="shared" si="31"/>
        <v>0.51948596172649808</v>
      </c>
      <c r="F656" s="5">
        <f t="shared" si="32"/>
        <v>-5.1942609702073317E-2</v>
      </c>
    </row>
    <row r="657" spans="1:6" x14ac:dyDescent="0.3">
      <c r="A657" s="7">
        <v>45117</v>
      </c>
      <c r="B657" s="3">
        <v>7167</v>
      </c>
      <c r="C657" s="3">
        <v>4675</v>
      </c>
      <c r="D657" s="3">
        <f t="shared" si="30"/>
        <v>2492</v>
      </c>
      <c r="E657" s="5">
        <f t="shared" si="31"/>
        <v>0.65229524208176359</v>
      </c>
      <c r="F657" s="5">
        <f t="shared" si="32"/>
        <v>8.0866670653192196E-2</v>
      </c>
    </row>
    <row r="658" spans="1:6" x14ac:dyDescent="0.3">
      <c r="A658" s="7">
        <v>45124</v>
      </c>
      <c r="B658" s="3">
        <v>7150</v>
      </c>
      <c r="C658" s="3">
        <v>3693</v>
      </c>
      <c r="D658" s="3">
        <f t="shared" si="30"/>
        <v>3457</v>
      </c>
      <c r="E658" s="5">
        <f t="shared" si="31"/>
        <v>0.51650349650349647</v>
      </c>
      <c r="F658" s="5">
        <f t="shared" si="32"/>
        <v>-5.4925074925074924E-2</v>
      </c>
    </row>
    <row r="659" spans="1:6" x14ac:dyDescent="0.3">
      <c r="A659" s="7">
        <v>45131</v>
      </c>
      <c r="B659" s="3">
        <v>7142</v>
      </c>
      <c r="C659" s="3">
        <v>4334</v>
      </c>
      <c r="D659" s="3">
        <f t="shared" si="30"/>
        <v>2808</v>
      </c>
      <c r="E659" s="5">
        <f t="shared" si="31"/>
        <v>0.60683281993839255</v>
      </c>
      <c r="F659" s="5">
        <f t="shared" si="32"/>
        <v>3.5404248509821157E-2</v>
      </c>
    </row>
    <row r="660" spans="1:6" x14ac:dyDescent="0.3">
      <c r="A660" s="7">
        <v>45138</v>
      </c>
      <c r="B660" s="3">
        <v>7146</v>
      </c>
      <c r="C660" s="3">
        <v>3891</v>
      </c>
      <c r="D660" s="3">
        <f t="shared" si="30"/>
        <v>3255</v>
      </c>
      <c r="E660" s="5">
        <f t="shared" si="31"/>
        <v>0.5445004198152813</v>
      </c>
      <c r="F660" s="5">
        <f t="shared" si="32"/>
        <v>-2.6928151613290097E-2</v>
      </c>
    </row>
    <row r="661" spans="1:6" x14ac:dyDescent="0.3">
      <c r="A661" s="7">
        <v>45145</v>
      </c>
      <c r="B661" s="3">
        <v>7117</v>
      </c>
      <c r="C661" s="3">
        <v>5449</v>
      </c>
      <c r="D661" s="3">
        <f t="shared" si="30"/>
        <v>1668</v>
      </c>
      <c r="E661" s="5">
        <f t="shared" si="31"/>
        <v>0.76563158634256012</v>
      </c>
      <c r="F661" s="5">
        <f t="shared" si="32"/>
        <v>0.19420301491398873</v>
      </c>
    </row>
    <row r="662" spans="1:6" x14ac:dyDescent="0.3">
      <c r="A662" s="7">
        <v>45152</v>
      </c>
      <c r="B662" s="3">
        <v>7148</v>
      </c>
      <c r="C662" s="3">
        <v>2772</v>
      </c>
      <c r="D662" s="3">
        <f t="shared" si="30"/>
        <v>4376</v>
      </c>
      <c r="E662" s="5">
        <f t="shared" si="31"/>
        <v>0.38780078343592611</v>
      </c>
      <c r="F662" s="5">
        <f t="shared" si="32"/>
        <v>-0.18362778799264529</v>
      </c>
    </row>
    <row r="663" spans="1:6" x14ac:dyDescent="0.3">
      <c r="A663" s="7">
        <v>45159</v>
      </c>
      <c r="B663" s="3">
        <v>7132</v>
      </c>
      <c r="C663" s="3">
        <v>3998</v>
      </c>
      <c r="D663" s="3">
        <f t="shared" si="30"/>
        <v>3134</v>
      </c>
      <c r="E663" s="5">
        <f t="shared" si="31"/>
        <v>0.56057206954570948</v>
      </c>
      <c r="F663" s="5">
        <f t="shared" si="32"/>
        <v>-1.0856501882861913E-2</v>
      </c>
    </row>
    <row r="664" spans="1:6" x14ac:dyDescent="0.3">
      <c r="A664" s="7">
        <v>45166</v>
      </c>
      <c r="B664" s="3">
        <v>7121</v>
      </c>
      <c r="C664" s="3">
        <v>3107</v>
      </c>
      <c r="D664" s="3">
        <f t="shared" si="30"/>
        <v>4014</v>
      </c>
      <c r="E664" s="5">
        <f t="shared" si="31"/>
        <v>0.43631512428029773</v>
      </c>
      <c r="F664" s="5">
        <f t="shared" si="32"/>
        <v>-0.13511344714827367</v>
      </c>
    </row>
    <row r="665" spans="1:6" x14ac:dyDescent="0.3">
      <c r="A665" s="7">
        <v>45173</v>
      </c>
      <c r="B665" s="3">
        <v>7009</v>
      </c>
      <c r="C665" s="3">
        <v>3445</v>
      </c>
      <c r="D665" s="3">
        <f t="shared" si="30"/>
        <v>3564</v>
      </c>
      <c r="E665" s="5">
        <f t="shared" si="31"/>
        <v>0.49151091453845058</v>
      </c>
      <c r="F665" s="5">
        <f t="shared" si="32"/>
        <v>-7.9917656890120814E-2</v>
      </c>
    </row>
    <row r="666" spans="1:6" x14ac:dyDescent="0.3">
      <c r="A666" s="7">
        <v>45180</v>
      </c>
      <c r="B666" s="3">
        <v>7123</v>
      </c>
      <c r="C666" s="3">
        <v>4159</v>
      </c>
      <c r="D666" s="3">
        <f t="shared" si="30"/>
        <v>2964</v>
      </c>
      <c r="E666" s="5">
        <f t="shared" si="31"/>
        <v>0.58388319528288646</v>
      </c>
      <c r="F666" s="5">
        <f t="shared" si="32"/>
        <v>1.2454623854315061E-2</v>
      </c>
    </row>
    <row r="667" spans="1:6" x14ac:dyDescent="0.3">
      <c r="A667" s="7">
        <v>45187</v>
      </c>
      <c r="B667" s="3">
        <v>7106</v>
      </c>
      <c r="C667" s="3">
        <v>4503</v>
      </c>
      <c r="D667" s="3">
        <f t="shared" si="30"/>
        <v>2603</v>
      </c>
      <c r="E667" s="5">
        <f t="shared" si="31"/>
        <v>0.63368983957219249</v>
      </c>
      <c r="F667" s="5">
        <f t="shared" si="32"/>
        <v>6.2261268143621096E-2</v>
      </c>
    </row>
    <row r="668" spans="1:6" x14ac:dyDescent="0.3">
      <c r="A668" s="7">
        <v>45194</v>
      </c>
      <c r="B668" s="3">
        <v>7111</v>
      </c>
      <c r="C668" s="3">
        <v>5539</v>
      </c>
      <c r="D668" s="3">
        <f t="shared" si="30"/>
        <v>1572</v>
      </c>
      <c r="E668" s="5">
        <f t="shared" si="31"/>
        <v>0.77893404584446635</v>
      </c>
      <c r="F668" s="5">
        <f t="shared" si="32"/>
        <v>0.20750547441589495</v>
      </c>
    </row>
    <row r="669" spans="1:6" x14ac:dyDescent="0.3">
      <c r="A669" s="7">
        <v>45201</v>
      </c>
      <c r="B669" s="3">
        <v>7132</v>
      </c>
      <c r="C669" s="3">
        <v>3725</v>
      </c>
      <c r="D669" s="3">
        <f t="shared" si="30"/>
        <v>3407</v>
      </c>
      <c r="E669" s="5">
        <f t="shared" si="31"/>
        <v>0.52229388670779586</v>
      </c>
      <c r="F669" s="5">
        <f t="shared" si="32"/>
        <v>-4.9134684720775534E-2</v>
      </c>
    </row>
    <row r="670" spans="1:6" x14ac:dyDescent="0.3">
      <c r="A670" s="7">
        <v>45208</v>
      </c>
      <c r="B670" s="3">
        <v>7162</v>
      </c>
      <c r="C670" s="3">
        <v>3410</v>
      </c>
      <c r="D670" s="3">
        <f t="shared" si="30"/>
        <v>3752</v>
      </c>
      <c r="E670" s="5">
        <f t="shared" si="31"/>
        <v>0.47612398771292935</v>
      </c>
      <c r="F670" s="5">
        <f t="shared" si="32"/>
        <v>-9.5304583715642044E-2</v>
      </c>
    </row>
    <row r="671" spans="1:6" x14ac:dyDescent="0.3">
      <c r="A671" s="7">
        <v>45215</v>
      </c>
      <c r="B671" s="3">
        <v>7138</v>
      </c>
      <c r="C671" s="3">
        <v>4618</v>
      </c>
      <c r="D671" s="3">
        <f t="shared" si="30"/>
        <v>2520</v>
      </c>
      <c r="E671" s="5">
        <f t="shared" si="31"/>
        <v>0.64695993275427288</v>
      </c>
      <c r="F671" s="5">
        <f t="shared" si="32"/>
        <v>7.5531361325701485E-2</v>
      </c>
    </row>
    <row r="672" spans="1:6" x14ac:dyDescent="0.3">
      <c r="A672" s="7">
        <v>45222</v>
      </c>
      <c r="B672" s="3">
        <v>7163</v>
      </c>
      <c r="C672" s="3">
        <v>3908</v>
      </c>
      <c r="D672" s="3">
        <f t="shared" si="30"/>
        <v>3255</v>
      </c>
      <c r="E672" s="5">
        <f t="shared" si="31"/>
        <v>0.54558146028200472</v>
      </c>
      <c r="F672" s="5">
        <f t="shared" si="32"/>
        <v>-2.5847111146566681E-2</v>
      </c>
    </row>
    <row r="673" spans="1:6" x14ac:dyDescent="0.3">
      <c r="A673" s="7">
        <v>45229</v>
      </c>
      <c r="B673" s="3">
        <v>7100</v>
      </c>
      <c r="C673" s="3">
        <v>5270</v>
      </c>
      <c r="D673" s="3">
        <f t="shared" si="30"/>
        <v>1830</v>
      </c>
      <c r="E673" s="5">
        <f t="shared" si="31"/>
        <v>0.74225352112676057</v>
      </c>
      <c r="F673" s="5">
        <f t="shared" si="32"/>
        <v>0.17082494969818918</v>
      </c>
    </row>
    <row r="674" spans="1:6" x14ac:dyDescent="0.3">
      <c r="A674" s="7">
        <v>45236</v>
      </c>
      <c r="B674" s="3">
        <v>7144</v>
      </c>
      <c r="C674" s="3">
        <v>4286</v>
      </c>
      <c r="D674" s="3">
        <f t="shared" si="30"/>
        <v>2858</v>
      </c>
      <c r="E674" s="5">
        <f t="shared" si="31"/>
        <v>0.59994400895856659</v>
      </c>
      <c r="F674" s="5">
        <f t="shared" si="32"/>
        <v>2.8515437529995191E-2</v>
      </c>
    </row>
    <row r="675" spans="1:6" x14ac:dyDescent="0.3">
      <c r="A675" s="7">
        <v>45243</v>
      </c>
      <c r="B675" s="3">
        <v>7138</v>
      </c>
      <c r="C675" s="3">
        <v>3880</v>
      </c>
      <c r="D675" s="3">
        <f t="shared" si="30"/>
        <v>3258</v>
      </c>
      <c r="E675" s="5">
        <f t="shared" si="31"/>
        <v>0.54356962734659564</v>
      </c>
      <c r="F675" s="5">
        <f t="shared" si="32"/>
        <v>-2.7858944081975756E-2</v>
      </c>
    </row>
    <row r="676" spans="1:6" x14ac:dyDescent="0.3">
      <c r="A676" s="7">
        <v>45250</v>
      </c>
      <c r="B676" s="3">
        <v>7093</v>
      </c>
      <c r="C676" s="3">
        <v>5104</v>
      </c>
      <c r="D676" s="3">
        <f t="shared" si="30"/>
        <v>1989</v>
      </c>
      <c r="E676" s="5">
        <f t="shared" si="31"/>
        <v>0.71958268715635132</v>
      </c>
      <c r="F676" s="5">
        <f t="shared" si="32"/>
        <v>0.14815411572777992</v>
      </c>
    </row>
    <row r="677" spans="1:6" x14ac:dyDescent="0.3">
      <c r="A677" s="7">
        <v>45257</v>
      </c>
      <c r="B677" s="3">
        <v>7159</v>
      </c>
      <c r="C677" s="3">
        <v>4811</v>
      </c>
      <c r="D677" s="3">
        <f t="shared" si="30"/>
        <v>2348</v>
      </c>
      <c r="E677" s="5">
        <f t="shared" si="31"/>
        <v>0.67202123201564468</v>
      </c>
      <c r="F677" s="5">
        <f t="shared" si="32"/>
        <v>0.10059266058707328</v>
      </c>
    </row>
    <row r="678" spans="1:6" x14ac:dyDescent="0.3">
      <c r="A678" s="7">
        <v>45264</v>
      </c>
      <c r="B678" s="3">
        <v>7165</v>
      </c>
      <c r="C678" s="3">
        <v>4232</v>
      </c>
      <c r="D678" s="3">
        <f t="shared" si="30"/>
        <v>2933</v>
      </c>
      <c r="E678" s="5">
        <f t="shared" si="31"/>
        <v>0.59064898813677602</v>
      </c>
      <c r="F678" s="5">
        <f t="shared" si="32"/>
        <v>1.9220416708204624E-2</v>
      </c>
    </row>
    <row r="679" spans="1:6" x14ac:dyDescent="0.3">
      <c r="A679" s="7">
        <v>45271</v>
      </c>
      <c r="B679" s="3">
        <v>7155</v>
      </c>
      <c r="C679" s="3">
        <v>5096</v>
      </c>
      <c r="D679" s="3">
        <f t="shared" si="30"/>
        <v>2059</v>
      </c>
      <c r="E679" s="5">
        <f t="shared" si="31"/>
        <v>0.71222921034241793</v>
      </c>
      <c r="F679" s="5">
        <f t="shared" si="32"/>
        <v>0.14080063891384653</v>
      </c>
    </row>
    <row r="680" spans="1:6" x14ac:dyDescent="0.3">
      <c r="A680" s="7">
        <v>45278</v>
      </c>
      <c r="B680" s="3">
        <v>7171</v>
      </c>
      <c r="C680" s="3">
        <v>5321</v>
      </c>
      <c r="D680" s="3">
        <f t="shared" si="30"/>
        <v>1850</v>
      </c>
      <c r="E680" s="5">
        <f t="shared" si="31"/>
        <v>0.74201645516664338</v>
      </c>
      <c r="F680" s="5">
        <f t="shared" si="32"/>
        <v>0.17058788373807199</v>
      </c>
    </row>
    <row r="681" spans="1:6" x14ac:dyDescent="0.3">
      <c r="A681" s="7">
        <v>45285</v>
      </c>
      <c r="B681" s="3">
        <v>5362</v>
      </c>
      <c r="C681" s="3">
        <v>3808</v>
      </c>
      <c r="D681" s="3">
        <f t="shared" si="30"/>
        <v>1554</v>
      </c>
      <c r="E681" s="5">
        <f t="shared" si="31"/>
        <v>0.71018276762402088</v>
      </c>
      <c r="F681" s="5">
        <f t="shared" si="32"/>
        <v>0.13875419619544949</v>
      </c>
    </row>
    <row r="682" spans="1:6" x14ac:dyDescent="0.3">
      <c r="A682" s="7">
        <v>45292</v>
      </c>
      <c r="B682" s="3">
        <v>5722</v>
      </c>
      <c r="C682" s="3">
        <v>3827</v>
      </c>
      <c r="D682" s="3">
        <f t="shared" si="30"/>
        <v>1895</v>
      </c>
      <c r="E682" s="5">
        <f t="shared" si="31"/>
        <v>0.66882209017825933</v>
      </c>
      <c r="F682" s="5">
        <f t="shared" si="32"/>
        <v>9.7393518749687935E-2</v>
      </c>
    </row>
    <row r="683" spans="1:6" x14ac:dyDescent="0.3">
      <c r="A683" s="7">
        <v>45299</v>
      </c>
      <c r="B683" s="3">
        <v>7103</v>
      </c>
      <c r="C683" s="3">
        <v>3321</v>
      </c>
      <c r="D683" s="3">
        <f t="shared" si="30"/>
        <v>3782</v>
      </c>
      <c r="E683" s="5">
        <f t="shared" si="31"/>
        <v>0.46754892299028578</v>
      </c>
      <c r="F683" s="5">
        <f t="shared" si="32"/>
        <v>-0.10387964843828562</v>
      </c>
    </row>
    <row r="684" spans="1:6" x14ac:dyDescent="0.3">
      <c r="A684" s="7">
        <v>45306</v>
      </c>
      <c r="B684" s="3">
        <v>7131</v>
      </c>
      <c r="C684" s="3">
        <v>2935</v>
      </c>
      <c r="D684" s="3">
        <f t="shared" si="30"/>
        <v>4196</v>
      </c>
      <c r="E684" s="5">
        <f t="shared" si="31"/>
        <v>0.41158322815874354</v>
      </c>
      <c r="F684" s="5">
        <f t="shared" si="32"/>
        <v>-0.15984534326982786</v>
      </c>
    </row>
    <row r="685" spans="1:6" x14ac:dyDescent="0.3">
      <c r="A685" s="7">
        <v>45313</v>
      </c>
      <c r="B685" s="3">
        <v>7165</v>
      </c>
      <c r="C685" s="3">
        <v>3847</v>
      </c>
      <c r="D685" s="3">
        <f t="shared" si="30"/>
        <v>3318</v>
      </c>
      <c r="E685" s="5">
        <f t="shared" si="31"/>
        <v>0.53691556175854849</v>
      </c>
      <c r="F685" s="5">
        <f t="shared" si="32"/>
        <v>-3.4513009670022909E-2</v>
      </c>
    </row>
    <row r="686" spans="1:6" x14ac:dyDescent="0.3">
      <c r="A686" s="7">
        <v>45320</v>
      </c>
      <c r="B686" s="3">
        <v>7166</v>
      </c>
      <c r="C686" s="3">
        <v>3195</v>
      </c>
      <c r="D686" s="3">
        <f t="shared" si="30"/>
        <v>3971</v>
      </c>
      <c r="E686" s="5">
        <f t="shared" si="31"/>
        <v>0.44585542841194531</v>
      </c>
      <c r="F686" s="5">
        <f t="shared" si="32"/>
        <v>-0.12557314301662609</v>
      </c>
    </row>
    <row r="687" spans="1:6" x14ac:dyDescent="0.3">
      <c r="A687" s="7">
        <v>45327</v>
      </c>
      <c r="B687" s="3">
        <v>7149</v>
      </c>
      <c r="C687" s="3">
        <v>2226</v>
      </c>
      <c r="D687" s="3">
        <f t="shared" si="30"/>
        <v>4923</v>
      </c>
      <c r="E687" s="5">
        <f t="shared" si="31"/>
        <v>0.31137221989089381</v>
      </c>
      <c r="F687" s="5">
        <f t="shared" si="32"/>
        <v>-0.26005635153767759</v>
      </c>
    </row>
    <row r="688" spans="1:6" x14ac:dyDescent="0.3">
      <c r="A688" s="7">
        <v>45334</v>
      </c>
      <c r="B688" s="3">
        <v>7154</v>
      </c>
      <c r="C688" s="3">
        <v>3901</v>
      </c>
      <c r="D688" s="3">
        <f t="shared" si="30"/>
        <v>3253</v>
      </c>
      <c r="E688" s="5">
        <f t="shared" si="31"/>
        <v>0.54528934861615874</v>
      </c>
      <c r="F688" s="5">
        <f t="shared" si="32"/>
        <v>-2.6139222812412655E-2</v>
      </c>
    </row>
    <row r="689" spans="1:6" x14ac:dyDescent="0.3">
      <c r="A689" s="7">
        <v>45341</v>
      </c>
      <c r="B689" s="3">
        <v>7145</v>
      </c>
      <c r="C689" s="3">
        <v>4196</v>
      </c>
      <c r="D689" s="3">
        <f t="shared" si="30"/>
        <v>2949</v>
      </c>
      <c r="E689" s="5">
        <f t="shared" si="31"/>
        <v>0.58726382085374385</v>
      </c>
      <c r="F689" s="5">
        <f t="shared" si="32"/>
        <v>1.5835249425172448E-2</v>
      </c>
    </row>
    <row r="690" spans="1:6" x14ac:dyDescent="0.3">
      <c r="A690" s="7">
        <v>45348</v>
      </c>
      <c r="B690" s="3">
        <v>7138</v>
      </c>
      <c r="C690" s="3">
        <v>3737</v>
      </c>
      <c r="D690" s="3">
        <f t="shared" si="30"/>
        <v>3401</v>
      </c>
      <c r="E690" s="5">
        <f t="shared" si="31"/>
        <v>0.52353600448304849</v>
      </c>
      <c r="F690" s="5">
        <f t="shared" si="32"/>
        <v>-4.7892566945522907E-2</v>
      </c>
    </row>
    <row r="691" spans="1:6" x14ac:dyDescent="0.3">
      <c r="A691" s="7">
        <v>45355</v>
      </c>
      <c r="B691" s="3">
        <v>7170</v>
      </c>
      <c r="C691" s="3">
        <v>4190</v>
      </c>
      <c r="D691" s="3">
        <f t="shared" si="30"/>
        <v>2980</v>
      </c>
      <c r="E691" s="5">
        <f t="shared" si="31"/>
        <v>0.58437935843793587</v>
      </c>
      <c r="F691" s="5">
        <f t="shared" si="32"/>
        <v>1.2950787009364473E-2</v>
      </c>
    </row>
    <row r="692" spans="1:6" x14ac:dyDescent="0.3">
      <c r="A692" s="7">
        <v>45362</v>
      </c>
      <c r="B692" s="3">
        <v>7081</v>
      </c>
      <c r="C692" s="3">
        <v>2327</v>
      </c>
      <c r="D692" s="3">
        <f t="shared" si="30"/>
        <v>4754</v>
      </c>
      <c r="E692" s="5">
        <f t="shared" si="31"/>
        <v>0.3286259002965683</v>
      </c>
      <c r="F692" s="5">
        <f t="shared" si="32"/>
        <v>-0.2428026711320031</v>
      </c>
    </row>
    <row r="693" spans="1:6" x14ac:dyDescent="0.3">
      <c r="A693" s="7">
        <v>45369</v>
      </c>
      <c r="B693" s="3">
        <v>7080</v>
      </c>
      <c r="C693" s="3">
        <v>3875</v>
      </c>
      <c r="D693" s="3">
        <f t="shared" si="30"/>
        <v>3205</v>
      </c>
      <c r="E693" s="5">
        <f t="shared" si="31"/>
        <v>0.54731638418079098</v>
      </c>
      <c r="F693" s="5">
        <f t="shared" si="32"/>
        <v>-2.4112187247780414E-2</v>
      </c>
    </row>
    <row r="694" spans="1:6" x14ac:dyDescent="0.3">
      <c r="A694" s="7">
        <v>45376</v>
      </c>
      <c r="B694" s="3">
        <v>7059</v>
      </c>
      <c r="C694" s="3">
        <v>4568</v>
      </c>
      <c r="D694" s="3">
        <f t="shared" si="30"/>
        <v>2491</v>
      </c>
      <c r="E694" s="5">
        <f t="shared" si="31"/>
        <v>0.64711715540444825</v>
      </c>
      <c r="F694" s="5">
        <f t="shared" si="32"/>
        <v>7.5688583975876855E-2</v>
      </c>
    </row>
    <row r="695" spans="1:6" x14ac:dyDescent="0.3">
      <c r="A695" s="7">
        <v>45383</v>
      </c>
      <c r="B695" s="3">
        <v>7109</v>
      </c>
      <c r="C695" s="3">
        <v>4841</v>
      </c>
      <c r="D695" s="3">
        <f t="shared" si="30"/>
        <v>2268</v>
      </c>
      <c r="E695" s="5">
        <f t="shared" si="31"/>
        <v>0.68096778731185825</v>
      </c>
      <c r="F695" s="5">
        <f t="shared" si="32"/>
        <v>0.10953921588328686</v>
      </c>
    </row>
    <row r="696" spans="1:6" x14ac:dyDescent="0.3">
      <c r="A696" s="7">
        <v>45390</v>
      </c>
      <c r="B696" s="3">
        <v>7120</v>
      </c>
      <c r="C696" s="3">
        <v>4710</v>
      </c>
      <c r="D696" s="3">
        <f t="shared" si="30"/>
        <v>2410</v>
      </c>
      <c r="E696" s="5">
        <f t="shared" si="31"/>
        <v>0.6615168539325843</v>
      </c>
      <c r="F696" s="5">
        <f t="shared" si="32"/>
        <v>9.0088282504012906E-2</v>
      </c>
    </row>
    <row r="697" spans="1:6" x14ac:dyDescent="0.3">
      <c r="A697" s="7">
        <v>45397</v>
      </c>
      <c r="B697" s="3">
        <v>7151</v>
      </c>
      <c r="C697" s="3">
        <v>3289</v>
      </c>
      <c r="D697" s="3">
        <f t="shared" si="30"/>
        <v>3862</v>
      </c>
      <c r="E697" s="5">
        <f t="shared" si="31"/>
        <v>0.45993567333240104</v>
      </c>
      <c r="F697" s="5">
        <f t="shared" si="32"/>
        <v>-0.11149289809617036</v>
      </c>
    </row>
    <row r="698" spans="1:6" x14ac:dyDescent="0.3">
      <c r="A698" s="7">
        <v>45404</v>
      </c>
      <c r="B698" s="3">
        <v>7133</v>
      </c>
      <c r="C698" s="3">
        <v>2904</v>
      </c>
      <c r="D698" s="3">
        <f t="shared" si="30"/>
        <v>4229</v>
      </c>
      <c r="E698" s="5">
        <f t="shared" si="31"/>
        <v>0.4071218281228095</v>
      </c>
      <c r="F698" s="5">
        <f t="shared" si="32"/>
        <v>-0.16430674330576189</v>
      </c>
    </row>
    <row r="699" spans="1:6" x14ac:dyDescent="0.3">
      <c r="A699" s="7">
        <v>45411</v>
      </c>
      <c r="B699" s="3">
        <v>7156</v>
      </c>
      <c r="C699" s="3">
        <v>4205</v>
      </c>
      <c r="D699" s="3">
        <f t="shared" si="30"/>
        <v>2951</v>
      </c>
      <c r="E699" s="5">
        <f t="shared" si="31"/>
        <v>0.58761878144214641</v>
      </c>
      <c r="F699" s="5">
        <f t="shared" si="32"/>
        <v>1.6190210013575013E-2</v>
      </c>
    </row>
    <row r="700" spans="1:6" x14ac:dyDescent="0.3">
      <c r="A700" s="7">
        <v>45418</v>
      </c>
      <c r="B700" s="3">
        <v>7112</v>
      </c>
      <c r="C700" s="3">
        <v>2854</v>
      </c>
      <c r="D700" s="3">
        <f t="shared" si="30"/>
        <v>4258</v>
      </c>
      <c r="E700" s="5">
        <f t="shared" si="31"/>
        <v>0.40129358830146233</v>
      </c>
      <c r="F700" s="5">
        <f t="shared" si="32"/>
        <v>-0.17013498312710906</v>
      </c>
    </row>
    <row r="701" spans="1:6" x14ac:dyDescent="0.3">
      <c r="A701" s="7">
        <v>45425</v>
      </c>
      <c r="B701" s="3">
        <v>7113</v>
      </c>
      <c r="C701" s="3">
        <v>4812</v>
      </c>
      <c r="D701" s="3">
        <f t="shared" si="30"/>
        <v>2301</v>
      </c>
      <c r="E701" s="5">
        <f t="shared" si="31"/>
        <v>0.67650780261493038</v>
      </c>
      <c r="F701" s="5">
        <f t="shared" si="32"/>
        <v>0.10507923118635898</v>
      </c>
    </row>
    <row r="702" spans="1:6" x14ac:dyDescent="0.3">
      <c r="A702" s="7">
        <v>45432</v>
      </c>
      <c r="B702" s="3">
        <v>7137</v>
      </c>
      <c r="C702" s="3">
        <v>4538</v>
      </c>
      <c r="D702" s="3">
        <f t="shared" si="30"/>
        <v>2599</v>
      </c>
      <c r="E702" s="5">
        <f t="shared" si="31"/>
        <v>0.63584138993975059</v>
      </c>
      <c r="F702" s="5">
        <f t="shared" si="32"/>
        <v>6.4412818511179193E-2</v>
      </c>
    </row>
    <row r="703" spans="1:6" x14ac:dyDescent="0.3">
      <c r="A703" s="7">
        <v>45439</v>
      </c>
      <c r="B703" s="3">
        <v>7072</v>
      </c>
      <c r="C703" s="3">
        <v>4034</v>
      </c>
      <c r="D703" s="3">
        <f t="shared" si="30"/>
        <v>3038</v>
      </c>
      <c r="E703" s="5">
        <f t="shared" si="31"/>
        <v>0.57041855203619907</v>
      </c>
      <c r="F703" s="5">
        <f t="shared" si="32"/>
        <v>-1.01001939237233E-3</v>
      </c>
    </row>
    <row r="704" spans="1:6" x14ac:dyDescent="0.3">
      <c r="A704" s="7">
        <v>45446</v>
      </c>
      <c r="B704" s="3">
        <v>7130</v>
      </c>
      <c r="C704" s="3">
        <v>3684</v>
      </c>
      <c r="D704" s="3">
        <f t="shared" si="30"/>
        <v>3446</v>
      </c>
      <c r="E704" s="5">
        <f t="shared" si="31"/>
        <v>0.51669004207573632</v>
      </c>
      <c r="F704" s="5">
        <f t="shared" si="32"/>
        <v>-5.4738529352835075E-2</v>
      </c>
    </row>
    <row r="705" spans="1:6" x14ac:dyDescent="0.3">
      <c r="A705" s="7">
        <v>45453</v>
      </c>
      <c r="B705" s="3">
        <v>7139</v>
      </c>
      <c r="C705" s="3">
        <v>4939</v>
      </c>
      <c r="D705" s="3">
        <f t="shared" si="30"/>
        <v>2200</v>
      </c>
      <c r="E705" s="5">
        <f t="shared" si="31"/>
        <v>0.69183359013867485</v>
      </c>
      <c r="F705" s="5">
        <f t="shared" si="32"/>
        <v>0.12040501871010345</v>
      </c>
    </row>
    <row r="706" spans="1:6" x14ac:dyDescent="0.3">
      <c r="A706" s="7">
        <v>45460</v>
      </c>
      <c r="B706" s="3">
        <v>7043</v>
      </c>
      <c r="C706" s="3">
        <v>4277</v>
      </c>
      <c r="D706" s="3">
        <f t="shared" si="30"/>
        <v>2766</v>
      </c>
      <c r="E706" s="5">
        <f t="shared" si="31"/>
        <v>0.60726962941928153</v>
      </c>
      <c r="F706" s="5">
        <f t="shared" si="32"/>
        <v>3.5841057990710135E-2</v>
      </c>
    </row>
    <row r="707" spans="1:6" x14ac:dyDescent="0.3">
      <c r="A707" s="7">
        <v>45467</v>
      </c>
      <c r="B707" s="3">
        <v>7104</v>
      </c>
      <c r="C707" s="3">
        <v>5019</v>
      </c>
      <c r="D707" s="3">
        <f t="shared" si="30"/>
        <v>2085</v>
      </c>
      <c r="E707" s="5">
        <f t="shared" si="31"/>
        <v>0.7065033783783784</v>
      </c>
      <c r="F707" s="5">
        <f t="shared" si="32"/>
        <v>0.135074806949807</v>
      </c>
    </row>
    <row r="708" spans="1:6" x14ac:dyDescent="0.3">
      <c r="A708" s="7">
        <v>45474</v>
      </c>
      <c r="B708" s="3">
        <v>7030</v>
      </c>
      <c r="C708" s="3">
        <v>4246</v>
      </c>
      <c r="D708" s="3">
        <f t="shared" si="30"/>
        <v>2784</v>
      </c>
      <c r="E708" s="5">
        <f t="shared" si="31"/>
        <v>0.60398293029871974</v>
      </c>
      <c r="F708" s="5">
        <f t="shared" si="32"/>
        <v>3.2554358870148348E-2</v>
      </c>
    </row>
    <row r="709" spans="1:6" x14ac:dyDescent="0.3">
      <c r="A709" s="7">
        <v>45481</v>
      </c>
      <c r="B709" s="3">
        <v>7082</v>
      </c>
      <c r="C709" s="3">
        <v>4988</v>
      </c>
      <c r="D709" s="3">
        <f t="shared" si="30"/>
        <v>2094</v>
      </c>
      <c r="E709" s="5">
        <f t="shared" si="31"/>
        <v>0.70432081332956797</v>
      </c>
      <c r="F709" s="5">
        <f t="shared" si="32"/>
        <v>0.13289224190099658</v>
      </c>
    </row>
    <row r="710" spans="1:6" x14ac:dyDescent="0.3">
      <c r="A710" s="7">
        <v>45488</v>
      </c>
      <c r="B710" s="3">
        <v>7130</v>
      </c>
      <c r="C710" s="3">
        <v>4385</v>
      </c>
      <c r="D710" s="3">
        <f t="shared" si="30"/>
        <v>2745</v>
      </c>
      <c r="E710" s="5">
        <f t="shared" si="31"/>
        <v>0.61500701262272095</v>
      </c>
      <c r="F710" s="5">
        <f t="shared" si="32"/>
        <v>4.3578441194149553E-2</v>
      </c>
    </row>
    <row r="711" spans="1:6" x14ac:dyDescent="0.3">
      <c r="A711" s="7">
        <v>45495</v>
      </c>
      <c r="B711" s="3">
        <v>7140</v>
      </c>
      <c r="C711" s="3">
        <v>4833</v>
      </c>
      <c r="D711" s="3">
        <f t="shared" si="30"/>
        <v>2307</v>
      </c>
      <c r="E711" s="5">
        <f t="shared" si="31"/>
        <v>0.67689075630252105</v>
      </c>
      <c r="F711" s="5">
        <f t="shared" si="32"/>
        <v>0.10546218487394965</v>
      </c>
    </row>
    <row r="712" spans="1:6" x14ac:dyDescent="0.3">
      <c r="A712" s="7">
        <v>45502</v>
      </c>
      <c r="B712" s="3">
        <v>7146</v>
      </c>
      <c r="C712" s="3">
        <v>3525</v>
      </c>
      <c r="D712" s="3">
        <f t="shared" si="30"/>
        <v>3621</v>
      </c>
      <c r="E712" s="5">
        <f t="shared" si="31"/>
        <v>0.49328295549958018</v>
      </c>
      <c r="F712" s="5">
        <f t="shared" si="32"/>
        <v>-7.8145615928991219E-2</v>
      </c>
    </row>
    <row r="713" spans="1:6" x14ac:dyDescent="0.3">
      <c r="A713" s="7">
        <v>45509</v>
      </c>
      <c r="B713" s="3">
        <v>7157</v>
      </c>
      <c r="C713" s="3">
        <v>3874</v>
      </c>
      <c r="D713" s="3">
        <f t="shared" ref="D713:D776" si="33">B713-C713</f>
        <v>3283</v>
      </c>
      <c r="E713" s="5">
        <f t="shared" ref="E713:E776" si="34">C713/B713</f>
        <v>0.54128824926645247</v>
      </c>
      <c r="F713" s="5">
        <f t="shared" ref="F713:F776" si="35">E713-$B$6</f>
        <v>-3.0140322162118927E-2</v>
      </c>
    </row>
    <row r="714" spans="1:6" x14ac:dyDescent="0.3">
      <c r="A714" s="7">
        <v>45516</v>
      </c>
      <c r="B714" s="3">
        <v>7155</v>
      </c>
      <c r="C714" s="3">
        <v>6378</v>
      </c>
      <c r="D714" s="3">
        <f t="shared" si="33"/>
        <v>777</v>
      </c>
      <c r="E714" s="5">
        <f t="shared" si="34"/>
        <v>0.89140461215932909</v>
      </c>
      <c r="F714" s="5">
        <f t="shared" si="35"/>
        <v>0.31997604073075769</v>
      </c>
    </row>
    <row r="715" spans="1:6" x14ac:dyDescent="0.3">
      <c r="A715" s="7">
        <v>45523</v>
      </c>
      <c r="B715" s="3">
        <v>7164</v>
      </c>
      <c r="C715" s="3">
        <v>5062</v>
      </c>
      <c r="D715" s="3">
        <f t="shared" si="33"/>
        <v>2102</v>
      </c>
      <c r="E715" s="5">
        <f t="shared" si="34"/>
        <v>0.7065884980457845</v>
      </c>
      <c r="F715" s="5">
        <f t="shared" si="35"/>
        <v>0.1351599266172131</v>
      </c>
    </row>
    <row r="716" spans="1:6" x14ac:dyDescent="0.3">
      <c r="A716" s="7">
        <v>45530</v>
      </c>
      <c r="B716" s="3">
        <v>7160</v>
      </c>
      <c r="C716" s="3">
        <v>4217</v>
      </c>
      <c r="D716" s="3">
        <f t="shared" si="33"/>
        <v>2943</v>
      </c>
      <c r="E716" s="5">
        <f t="shared" si="34"/>
        <v>0.58896648044692734</v>
      </c>
      <c r="F716" s="5">
        <f t="shared" si="35"/>
        <v>1.7537909018355946E-2</v>
      </c>
    </row>
    <row r="717" spans="1:6" x14ac:dyDescent="0.3">
      <c r="A717" s="7">
        <v>45537</v>
      </c>
      <c r="B717" s="3">
        <v>7093</v>
      </c>
      <c r="C717" s="3">
        <v>3455</v>
      </c>
      <c r="D717" s="3">
        <f t="shared" si="33"/>
        <v>3638</v>
      </c>
      <c r="E717" s="5">
        <f t="shared" si="34"/>
        <v>0.48709995770477937</v>
      </c>
      <c r="F717" s="5">
        <f t="shared" si="35"/>
        <v>-8.4328613723792023E-2</v>
      </c>
    </row>
    <row r="718" spans="1:6" x14ac:dyDescent="0.3">
      <c r="A718" s="7">
        <v>45544</v>
      </c>
      <c r="B718" s="3">
        <v>7119</v>
      </c>
      <c r="C718" s="3">
        <v>4276</v>
      </c>
      <c r="D718" s="3">
        <f t="shared" si="33"/>
        <v>2843</v>
      </c>
      <c r="E718" s="5">
        <f t="shared" si="34"/>
        <v>0.60064615816828204</v>
      </c>
      <c r="F718" s="5">
        <f t="shared" si="35"/>
        <v>2.9217586739710644E-2</v>
      </c>
    </row>
    <row r="719" spans="1:6" x14ac:dyDescent="0.3">
      <c r="A719" s="7">
        <v>45551</v>
      </c>
      <c r="B719" s="3">
        <v>7161</v>
      </c>
      <c r="C719" s="3">
        <v>5050</v>
      </c>
      <c r="D719" s="3">
        <f t="shared" si="33"/>
        <v>2111</v>
      </c>
      <c r="E719" s="5">
        <f t="shared" si="34"/>
        <v>0.70520876972489877</v>
      </c>
      <c r="F719" s="5">
        <f t="shared" si="35"/>
        <v>0.13378019829632737</v>
      </c>
    </row>
    <row r="720" spans="1:6" x14ac:dyDescent="0.3">
      <c r="A720" s="7">
        <v>45558</v>
      </c>
      <c r="B720" s="3">
        <v>7149</v>
      </c>
      <c r="C720" s="3">
        <v>4429</v>
      </c>
      <c r="D720" s="3">
        <f t="shared" si="33"/>
        <v>2720</v>
      </c>
      <c r="E720" s="5">
        <f t="shared" si="34"/>
        <v>0.61952720660232197</v>
      </c>
      <c r="F720" s="5">
        <f t="shared" si="35"/>
        <v>4.809863517375057E-2</v>
      </c>
    </row>
    <row r="721" spans="1:6" x14ac:dyDescent="0.3">
      <c r="A721" s="7">
        <v>45565</v>
      </c>
      <c r="B721" s="3">
        <v>7166</v>
      </c>
      <c r="C721" s="3">
        <v>5742</v>
      </c>
      <c r="D721" s="3">
        <f t="shared" si="33"/>
        <v>1424</v>
      </c>
      <c r="E721" s="5">
        <f t="shared" si="34"/>
        <v>0.80128384035724254</v>
      </c>
      <c r="F721" s="5">
        <f t="shared" si="35"/>
        <v>0.22985526892867114</v>
      </c>
    </row>
    <row r="722" spans="1:6" x14ac:dyDescent="0.3">
      <c r="A722" s="7">
        <v>45572</v>
      </c>
      <c r="B722" s="3">
        <v>7151</v>
      </c>
      <c r="C722" s="3">
        <v>5004</v>
      </c>
      <c r="D722" s="3">
        <f t="shared" si="33"/>
        <v>2147</v>
      </c>
      <c r="E722" s="5">
        <f t="shared" si="34"/>
        <v>0.69976227101104738</v>
      </c>
      <c r="F722" s="5">
        <f t="shared" si="35"/>
        <v>0.12833369958247598</v>
      </c>
    </row>
    <row r="723" spans="1:6" x14ac:dyDescent="0.3">
      <c r="A723" s="7">
        <v>45579</v>
      </c>
      <c r="B723" s="3">
        <v>7132</v>
      </c>
      <c r="C723" s="3">
        <v>5142</v>
      </c>
      <c r="D723" s="3">
        <f t="shared" si="33"/>
        <v>1990</v>
      </c>
      <c r="E723" s="5">
        <f t="shared" si="34"/>
        <v>0.72097588334268092</v>
      </c>
      <c r="F723" s="5">
        <f t="shared" si="35"/>
        <v>0.14954731191410953</v>
      </c>
    </row>
    <row r="724" spans="1:6" x14ac:dyDescent="0.3">
      <c r="A724" s="7">
        <v>45586</v>
      </c>
      <c r="B724" s="3">
        <v>7150</v>
      </c>
      <c r="C724" s="3">
        <v>4319</v>
      </c>
      <c r="D724" s="3">
        <f t="shared" si="33"/>
        <v>2831</v>
      </c>
      <c r="E724" s="5">
        <f t="shared" si="34"/>
        <v>0.60405594405594409</v>
      </c>
      <c r="F724" s="5">
        <f t="shared" si="35"/>
        <v>3.2627372627372697E-2</v>
      </c>
    </row>
    <row r="725" spans="1:6" x14ac:dyDescent="0.3">
      <c r="A725" s="7">
        <v>45593</v>
      </c>
      <c r="B725" s="3">
        <v>7155</v>
      </c>
      <c r="C725" s="3">
        <v>2643</v>
      </c>
      <c r="D725" s="3">
        <f t="shared" si="33"/>
        <v>4512</v>
      </c>
      <c r="E725" s="5">
        <f t="shared" si="34"/>
        <v>0.36939203354297695</v>
      </c>
      <c r="F725" s="5">
        <f t="shared" si="35"/>
        <v>-0.20203653788559445</v>
      </c>
    </row>
    <row r="726" spans="1:6" x14ac:dyDescent="0.3">
      <c r="A726" s="7">
        <v>45600</v>
      </c>
      <c r="B726" s="3">
        <v>7148</v>
      </c>
      <c r="C726" s="3">
        <v>4656</v>
      </c>
      <c r="D726" s="3">
        <f t="shared" si="33"/>
        <v>2492</v>
      </c>
      <c r="E726" s="5">
        <f t="shared" si="34"/>
        <v>0.65137101287073307</v>
      </c>
      <c r="F726" s="5">
        <f t="shared" si="35"/>
        <v>7.9942441442161671E-2</v>
      </c>
    </row>
    <row r="727" spans="1:6" x14ac:dyDescent="0.3">
      <c r="A727" s="7">
        <v>45607</v>
      </c>
      <c r="B727" s="3">
        <v>7167</v>
      </c>
      <c r="C727" s="3">
        <v>4179</v>
      </c>
      <c r="D727" s="3">
        <f t="shared" si="33"/>
        <v>2988</v>
      </c>
      <c r="E727" s="5">
        <f t="shared" si="34"/>
        <v>0.58308915864378397</v>
      </c>
      <c r="F727" s="5">
        <f t="shared" si="35"/>
        <v>1.166058721521257E-2</v>
      </c>
    </row>
    <row r="728" spans="1:6" x14ac:dyDescent="0.3">
      <c r="A728" s="7">
        <v>45614</v>
      </c>
      <c r="B728" s="3">
        <v>7170</v>
      </c>
      <c r="C728" s="3">
        <v>4969</v>
      </c>
      <c r="D728" s="3">
        <f t="shared" si="33"/>
        <v>2201</v>
      </c>
      <c r="E728" s="5">
        <f t="shared" si="34"/>
        <v>0.69302649930264992</v>
      </c>
      <c r="F728" s="5">
        <f t="shared" si="35"/>
        <v>0.12159792787407853</v>
      </c>
    </row>
    <row r="729" spans="1:6" x14ac:dyDescent="0.3">
      <c r="A729" s="7">
        <v>45621</v>
      </c>
      <c r="B729" s="3">
        <v>7133</v>
      </c>
      <c r="C729" s="3">
        <v>3429</v>
      </c>
      <c r="D729" s="3">
        <f t="shared" si="33"/>
        <v>3704</v>
      </c>
      <c r="E729" s="5">
        <f t="shared" si="34"/>
        <v>0.48072339828963973</v>
      </c>
      <c r="F729" s="5">
        <f t="shared" si="35"/>
        <v>-9.0705173138931672E-2</v>
      </c>
    </row>
    <row r="730" spans="1:6" x14ac:dyDescent="0.3">
      <c r="A730" s="7">
        <v>45628</v>
      </c>
      <c r="B730" s="3">
        <v>7179</v>
      </c>
      <c r="C730" s="3">
        <v>3831</v>
      </c>
      <c r="D730" s="3">
        <f t="shared" si="33"/>
        <v>3348</v>
      </c>
      <c r="E730" s="5">
        <f t="shared" si="34"/>
        <v>0.53363978269954038</v>
      </c>
      <c r="F730" s="5">
        <f t="shared" si="35"/>
        <v>-3.778878872903102E-2</v>
      </c>
    </row>
    <row r="731" spans="1:6" x14ac:dyDescent="0.3">
      <c r="A731" s="7">
        <v>45635</v>
      </c>
      <c r="B731" s="3">
        <v>7176</v>
      </c>
      <c r="C731" s="3">
        <v>3757</v>
      </c>
      <c r="D731" s="3">
        <f t="shared" si="33"/>
        <v>3419</v>
      </c>
      <c r="E731" s="5">
        <f t="shared" si="34"/>
        <v>0.52355072463768115</v>
      </c>
      <c r="F731" s="5">
        <f t="shared" si="35"/>
        <v>-4.7877846790890244E-2</v>
      </c>
    </row>
    <row r="732" spans="1:6" x14ac:dyDescent="0.3">
      <c r="A732" s="7">
        <v>45642</v>
      </c>
      <c r="B732" s="3">
        <v>7182</v>
      </c>
      <c r="C732" s="3">
        <v>4086</v>
      </c>
      <c r="D732" s="3">
        <f t="shared" si="33"/>
        <v>3096</v>
      </c>
      <c r="E732" s="5">
        <f t="shared" si="34"/>
        <v>0.56892230576441105</v>
      </c>
      <c r="F732" s="5">
        <f t="shared" si="35"/>
        <v>-2.5062656641603454E-3</v>
      </c>
    </row>
    <row r="733" spans="1:6" x14ac:dyDescent="0.3">
      <c r="A733" s="7">
        <v>45649</v>
      </c>
      <c r="B733" s="3">
        <v>5069</v>
      </c>
      <c r="C733" s="3">
        <v>2526</v>
      </c>
      <c r="D733" s="3">
        <f t="shared" si="33"/>
        <v>2543</v>
      </c>
      <c r="E733" s="5">
        <f t="shared" si="34"/>
        <v>0.49832314065890709</v>
      </c>
      <c r="F733" s="5">
        <f t="shared" si="35"/>
        <v>-7.3105430769664304E-2</v>
      </c>
    </row>
    <row r="734" spans="1:6" x14ac:dyDescent="0.3">
      <c r="A734" s="7">
        <v>45656</v>
      </c>
      <c r="B734" s="3">
        <v>5548</v>
      </c>
      <c r="C734" s="3">
        <v>3546</v>
      </c>
      <c r="D734" s="3">
        <f t="shared" si="33"/>
        <v>2002</v>
      </c>
      <c r="E734" s="5">
        <f t="shared" si="34"/>
        <v>0.63914924297043985</v>
      </c>
      <c r="F734" s="5">
        <f t="shared" si="35"/>
        <v>6.7720671541868449E-2</v>
      </c>
    </row>
    <row r="735" spans="1:6" x14ac:dyDescent="0.3">
      <c r="A735" s="7">
        <v>45663</v>
      </c>
      <c r="B735" s="3">
        <v>7186</v>
      </c>
      <c r="C735" s="3">
        <v>5746</v>
      </c>
      <c r="D735" s="3">
        <f t="shared" si="33"/>
        <v>1440</v>
      </c>
      <c r="E735" s="5">
        <f t="shared" si="34"/>
        <v>0.79961035346507092</v>
      </c>
      <c r="F735" s="5">
        <f t="shared" si="35"/>
        <v>0.22818178203649953</v>
      </c>
    </row>
    <row r="736" spans="1:6" x14ac:dyDescent="0.3">
      <c r="A736" s="7">
        <v>45670</v>
      </c>
      <c r="B736" s="3">
        <v>7178</v>
      </c>
      <c r="C736" s="3">
        <v>3609</v>
      </c>
      <c r="D736" s="3">
        <f t="shared" si="33"/>
        <v>3569</v>
      </c>
      <c r="E736" s="5">
        <f t="shared" si="34"/>
        <v>0.50278629144608522</v>
      </c>
      <c r="F736" s="5">
        <f t="shared" si="35"/>
        <v>-6.8642279982486176E-2</v>
      </c>
    </row>
    <row r="737" spans="1:6" x14ac:dyDescent="0.3">
      <c r="A737" s="7">
        <v>45677</v>
      </c>
      <c r="B737" s="3">
        <v>7184</v>
      </c>
      <c r="C737" s="3">
        <v>3264</v>
      </c>
      <c r="D737" s="3">
        <f t="shared" si="33"/>
        <v>3920</v>
      </c>
      <c r="E737" s="5">
        <f t="shared" si="34"/>
        <v>0.45434298440979953</v>
      </c>
      <c r="F737" s="5">
        <f t="shared" si="35"/>
        <v>-0.11708558701877186</v>
      </c>
    </row>
    <row r="738" spans="1:6" x14ac:dyDescent="0.3">
      <c r="A738" s="7">
        <v>45684</v>
      </c>
      <c r="B738" s="3">
        <v>7185</v>
      </c>
      <c r="C738" s="3">
        <v>3747</v>
      </c>
      <c r="D738" s="3">
        <f t="shared" si="33"/>
        <v>3438</v>
      </c>
      <c r="E738" s="5">
        <f t="shared" si="34"/>
        <v>0.5215031315240084</v>
      </c>
      <c r="F738" s="5">
        <f t="shared" si="35"/>
        <v>-4.9925439904562996E-2</v>
      </c>
    </row>
    <row r="739" spans="1:6" x14ac:dyDescent="0.3">
      <c r="A739" s="7">
        <v>45691</v>
      </c>
      <c r="B739" s="3">
        <v>7188</v>
      </c>
      <c r="C739" s="3">
        <v>3961</v>
      </c>
      <c r="D739" s="3">
        <f t="shared" si="33"/>
        <v>3227</v>
      </c>
      <c r="E739" s="5">
        <f t="shared" si="34"/>
        <v>0.55105731775180855</v>
      </c>
      <c r="F739" s="5">
        <f t="shared" si="35"/>
        <v>-2.0371253676762846E-2</v>
      </c>
    </row>
    <row r="740" spans="1:6" x14ac:dyDescent="0.3">
      <c r="A740" s="7">
        <v>45698</v>
      </c>
      <c r="B740" s="3">
        <v>7178</v>
      </c>
      <c r="C740" s="3">
        <v>4294</v>
      </c>
      <c r="D740" s="3">
        <f t="shared" si="33"/>
        <v>2884</v>
      </c>
      <c r="E740" s="5">
        <f t="shared" si="34"/>
        <v>0.59821677347450541</v>
      </c>
      <c r="F740" s="5">
        <f t="shared" si="35"/>
        <v>2.6788202045934018E-2</v>
      </c>
    </row>
    <row r="741" spans="1:6" x14ac:dyDescent="0.3">
      <c r="A741" s="7">
        <v>45705</v>
      </c>
      <c r="B741" s="3">
        <v>7143</v>
      </c>
      <c r="C741" s="3">
        <v>4985</v>
      </c>
      <c r="D741" s="3">
        <f t="shared" si="33"/>
        <v>2158</v>
      </c>
      <c r="E741" s="5">
        <f t="shared" si="34"/>
        <v>0.69788604227915441</v>
      </c>
      <c r="F741" s="5">
        <f t="shared" si="35"/>
        <v>0.12645747085058301</v>
      </c>
    </row>
    <row r="742" spans="1:6" x14ac:dyDescent="0.3">
      <c r="A742" s="7">
        <v>45712</v>
      </c>
      <c r="B742" s="3">
        <v>7161</v>
      </c>
      <c r="C742" s="3">
        <v>3937</v>
      </c>
      <c r="D742" s="3">
        <f t="shared" si="33"/>
        <v>3224</v>
      </c>
      <c r="E742" s="5">
        <f t="shared" si="34"/>
        <v>0.54978354978354982</v>
      </c>
      <c r="F742" s="5">
        <f t="shared" si="35"/>
        <v>-2.1645021645021578E-2</v>
      </c>
    </row>
    <row r="743" spans="1:6" x14ac:dyDescent="0.3">
      <c r="A743" s="7">
        <v>45719</v>
      </c>
      <c r="B743" s="3">
        <v>7178</v>
      </c>
      <c r="C743" s="3">
        <v>4556</v>
      </c>
      <c r="D743" s="3">
        <f t="shared" si="33"/>
        <v>2622</v>
      </c>
      <c r="E743" s="5">
        <f t="shared" si="34"/>
        <v>0.63471719141822236</v>
      </c>
      <c r="F743" s="5">
        <f t="shared" si="35"/>
        <v>6.3288619989650963E-2</v>
      </c>
    </row>
    <row r="744" spans="1:6" x14ac:dyDescent="0.3">
      <c r="A744" s="7">
        <v>45726</v>
      </c>
      <c r="B744" s="3">
        <v>7106</v>
      </c>
      <c r="C744" s="3">
        <v>4168</v>
      </c>
      <c r="D744" s="3">
        <f t="shared" si="33"/>
        <v>2938</v>
      </c>
      <c r="E744" s="5">
        <f t="shared" si="34"/>
        <v>0.58654658035462992</v>
      </c>
      <c r="F744" s="5">
        <f t="shared" si="35"/>
        <v>1.5118008926058524E-2</v>
      </c>
    </row>
    <row r="745" spans="1:6" x14ac:dyDescent="0.3">
      <c r="A745" s="7">
        <v>45733</v>
      </c>
      <c r="B745" s="3">
        <v>7088</v>
      </c>
      <c r="C745" s="3">
        <v>4148</v>
      </c>
      <c r="D745" s="3">
        <f t="shared" si="33"/>
        <v>2940</v>
      </c>
      <c r="E745" s="5">
        <f t="shared" si="34"/>
        <v>0.58521444695259595</v>
      </c>
      <c r="F745" s="5">
        <f t="shared" si="35"/>
        <v>1.3785875524024549E-2</v>
      </c>
    </row>
    <row r="746" spans="1:6" x14ac:dyDescent="0.3">
      <c r="A746" s="7">
        <v>45740</v>
      </c>
      <c r="B746" s="3">
        <v>7109</v>
      </c>
      <c r="C746" s="3">
        <v>3307</v>
      </c>
      <c r="D746" s="3">
        <f t="shared" si="33"/>
        <v>3802</v>
      </c>
      <c r="E746" s="5">
        <f t="shared" si="34"/>
        <v>0.46518497678998455</v>
      </c>
      <c r="F746" s="5">
        <f t="shared" si="35"/>
        <v>-0.10624359463858685</v>
      </c>
    </row>
    <row r="747" spans="1:6" x14ac:dyDescent="0.3">
      <c r="A747" s="7">
        <v>45747</v>
      </c>
      <c r="B747" s="3">
        <v>7179</v>
      </c>
      <c r="C747" s="3">
        <v>3998</v>
      </c>
      <c r="D747" s="3">
        <f t="shared" si="33"/>
        <v>3181</v>
      </c>
      <c r="E747" s="5">
        <f t="shared" si="34"/>
        <v>0.55690207549798021</v>
      </c>
      <c r="F747" s="5">
        <f t="shared" si="35"/>
        <v>-1.4526495930591188E-2</v>
      </c>
    </row>
    <row r="748" spans="1:6" x14ac:dyDescent="0.3">
      <c r="A748" s="7">
        <v>45754</v>
      </c>
      <c r="B748" s="3">
        <v>7169</v>
      </c>
      <c r="C748" s="3">
        <v>4625</v>
      </c>
      <c r="D748" s="3">
        <f t="shared" si="33"/>
        <v>2544</v>
      </c>
      <c r="E748" s="5">
        <f t="shared" si="34"/>
        <v>0.64513879202120239</v>
      </c>
      <c r="F748" s="5">
        <f t="shared" si="35"/>
        <v>7.3710220592630993E-2</v>
      </c>
    </row>
    <row r="749" spans="1:6" x14ac:dyDescent="0.3">
      <c r="A749" s="7">
        <v>45761</v>
      </c>
      <c r="B749" s="3">
        <v>7161</v>
      </c>
      <c r="C749" s="3">
        <v>4357</v>
      </c>
      <c r="D749" s="3">
        <f t="shared" si="33"/>
        <v>2804</v>
      </c>
      <c r="E749" s="5">
        <f t="shared" si="34"/>
        <v>0.60843457617651164</v>
      </c>
      <c r="F749" s="5">
        <f t="shared" si="35"/>
        <v>3.7006004747940247E-2</v>
      </c>
    </row>
    <row r="750" spans="1:6" x14ac:dyDescent="0.3">
      <c r="A750" s="7">
        <v>45768</v>
      </c>
      <c r="B750" s="3">
        <v>7183</v>
      </c>
      <c r="C750" s="3">
        <v>4176</v>
      </c>
      <c r="D750" s="3">
        <f t="shared" si="33"/>
        <v>3007</v>
      </c>
      <c r="E750" s="5">
        <f t="shared" si="34"/>
        <v>0.58137268550744814</v>
      </c>
      <c r="F750" s="5">
        <f t="shared" si="35"/>
        <v>9.9441140788767424E-3</v>
      </c>
    </row>
    <row r="751" spans="1:6" x14ac:dyDescent="0.3">
      <c r="A751" s="7">
        <v>45775</v>
      </c>
      <c r="B751" s="3">
        <v>7167</v>
      </c>
      <c r="C751" s="3">
        <v>4230</v>
      </c>
      <c r="D751" s="3">
        <f t="shared" si="33"/>
        <v>2937</v>
      </c>
      <c r="E751" s="5">
        <f t="shared" si="34"/>
        <v>0.59020510673922144</v>
      </c>
      <c r="F751" s="5">
        <f t="shared" si="35"/>
        <v>1.8776535310650044E-2</v>
      </c>
    </row>
    <row r="752" spans="1:6" x14ac:dyDescent="0.3">
      <c r="A752" s="7">
        <v>45782</v>
      </c>
      <c r="B752" s="3">
        <v>7175</v>
      </c>
      <c r="C752" s="3">
        <v>3250</v>
      </c>
      <c r="D752" s="3">
        <f t="shared" si="33"/>
        <v>3925</v>
      </c>
      <c r="E752" s="5">
        <f t="shared" si="34"/>
        <v>0.45296167247386759</v>
      </c>
      <c r="F752" s="5">
        <f t="shared" si="35"/>
        <v>-0.1184668989547038</v>
      </c>
    </row>
    <row r="753" spans="1:6" x14ac:dyDescent="0.3">
      <c r="A753" s="7">
        <v>45789</v>
      </c>
      <c r="B753" s="3">
        <v>7179</v>
      </c>
      <c r="C753" s="3">
        <v>5038</v>
      </c>
      <c r="D753" s="3">
        <f t="shared" si="33"/>
        <v>2141</v>
      </c>
      <c r="E753" s="5">
        <f t="shared" si="34"/>
        <v>0.70176904861401312</v>
      </c>
      <c r="F753" s="5">
        <f t="shared" si="35"/>
        <v>0.13034047718544173</v>
      </c>
    </row>
    <row r="754" spans="1:6" x14ac:dyDescent="0.3">
      <c r="A754" s="7">
        <v>45796</v>
      </c>
      <c r="B754" s="3">
        <v>7183</v>
      </c>
      <c r="C754" s="3">
        <v>4493</v>
      </c>
      <c r="D754" s="3">
        <f t="shared" si="33"/>
        <v>2690</v>
      </c>
      <c r="E754" s="5">
        <f t="shared" si="34"/>
        <v>0.62550466378950298</v>
      </c>
      <c r="F754" s="5">
        <f t="shared" si="35"/>
        <v>5.4076092360931582E-2</v>
      </c>
    </row>
    <row r="755" spans="1:6" x14ac:dyDescent="0.3">
      <c r="A755" s="7">
        <v>45803</v>
      </c>
      <c r="B755" s="3">
        <v>7145</v>
      </c>
      <c r="C755" s="3">
        <v>4428</v>
      </c>
      <c r="D755" s="3">
        <f t="shared" si="33"/>
        <v>2717</v>
      </c>
      <c r="E755" s="5">
        <f t="shared" si="34"/>
        <v>0.6197340797760672</v>
      </c>
      <c r="F755" s="5">
        <f t="shared" si="35"/>
        <v>4.8305508347495807E-2</v>
      </c>
    </row>
    <row r="756" spans="1:6" x14ac:dyDescent="0.3">
      <c r="A756" s="7">
        <v>45810</v>
      </c>
      <c r="B756" s="3">
        <v>7168</v>
      </c>
      <c r="C756" s="3">
        <v>5004</v>
      </c>
      <c r="D756" s="3">
        <f t="shared" si="33"/>
        <v>2164</v>
      </c>
      <c r="E756" s="5">
        <f t="shared" si="34"/>
        <v>0.6981026785714286</v>
      </c>
      <c r="F756" s="5">
        <f t="shared" si="35"/>
        <v>0.12667410714285721</v>
      </c>
    </row>
    <row r="757" spans="1:6" x14ac:dyDescent="0.3">
      <c r="A757" s="7">
        <v>45817</v>
      </c>
      <c r="B757" s="3">
        <v>7140</v>
      </c>
      <c r="C757" s="3">
        <v>3863</v>
      </c>
      <c r="D757" s="3">
        <f t="shared" si="33"/>
        <v>3277</v>
      </c>
      <c r="E757" s="5">
        <f t="shared" si="34"/>
        <v>0.5410364145658263</v>
      </c>
      <c r="F757" s="5">
        <f t="shared" si="35"/>
        <v>-3.0392156862745101E-2</v>
      </c>
    </row>
    <row r="758" spans="1:6" x14ac:dyDescent="0.3">
      <c r="A758" s="7">
        <v>45824</v>
      </c>
      <c r="B758" s="3">
        <v>7175</v>
      </c>
      <c r="C758" s="3">
        <v>3449</v>
      </c>
      <c r="D758" s="3">
        <f t="shared" si="33"/>
        <v>3726</v>
      </c>
      <c r="E758" s="5">
        <f t="shared" si="34"/>
        <v>0.48069686411149826</v>
      </c>
      <c r="F758" s="5">
        <f t="shared" si="35"/>
        <v>-9.073170731707314E-2</v>
      </c>
    </row>
    <row r="759" spans="1:6" x14ac:dyDescent="0.3">
      <c r="A759" s="7">
        <v>45831</v>
      </c>
      <c r="B759" s="3">
        <v>7168</v>
      </c>
      <c r="C759" s="3">
        <v>3926</v>
      </c>
      <c r="D759" s="3">
        <f t="shared" si="33"/>
        <v>3242</v>
      </c>
      <c r="E759" s="5">
        <f t="shared" si="34"/>
        <v>0.5477120535714286</v>
      </c>
      <c r="F759" s="5">
        <f t="shared" si="35"/>
        <v>-2.3716517857142794E-2</v>
      </c>
    </row>
    <row r="760" spans="1:6" x14ac:dyDescent="0.3">
      <c r="A760" s="7">
        <v>45838</v>
      </c>
      <c r="B760" s="3">
        <v>7165</v>
      </c>
      <c r="C760" s="3">
        <v>4234</v>
      </c>
      <c r="D760" s="3">
        <f t="shared" si="33"/>
        <v>2931</v>
      </c>
      <c r="E760" s="5">
        <f t="shared" si="34"/>
        <v>0.59092812281926033</v>
      </c>
      <c r="F760" s="5">
        <f t="shared" si="35"/>
        <v>1.949955139068893E-2</v>
      </c>
    </row>
    <row r="761" spans="1:6" x14ac:dyDescent="0.3">
      <c r="A761" s="7">
        <v>45845</v>
      </c>
      <c r="B761" s="3">
        <v>7172</v>
      </c>
      <c r="C761" s="3">
        <v>3046</v>
      </c>
      <c r="D761" s="3">
        <f t="shared" si="33"/>
        <v>4126</v>
      </c>
      <c r="E761" s="5">
        <f t="shared" si="34"/>
        <v>0.42470719464584494</v>
      </c>
      <c r="F761" s="5">
        <f t="shared" si="35"/>
        <v>-0.14672137678272645</v>
      </c>
    </row>
    <row r="762" spans="1:6" x14ac:dyDescent="0.3">
      <c r="A762" s="7">
        <v>45852</v>
      </c>
      <c r="B762" s="3">
        <v>7167</v>
      </c>
      <c r="C762" s="3">
        <v>4456</v>
      </c>
      <c r="D762" s="3">
        <f t="shared" si="33"/>
        <v>2711</v>
      </c>
      <c r="E762" s="5">
        <f t="shared" si="34"/>
        <v>0.62173852378959116</v>
      </c>
      <c r="F762" s="5">
        <f t="shared" si="35"/>
        <v>5.0309952361019761E-2</v>
      </c>
    </row>
    <row r="763" spans="1:6" x14ac:dyDescent="0.3">
      <c r="A763" s="7">
        <v>45859</v>
      </c>
      <c r="B763" s="3">
        <v>7168</v>
      </c>
      <c r="C763" s="3">
        <v>3990</v>
      </c>
      <c r="D763" s="3">
        <f t="shared" si="33"/>
        <v>3178</v>
      </c>
      <c r="E763" s="5">
        <f t="shared" si="34"/>
        <v>0.556640625</v>
      </c>
      <c r="F763" s="5">
        <f t="shared" si="35"/>
        <v>-1.4787946428571397E-2</v>
      </c>
    </row>
    <row r="764" spans="1:6" x14ac:dyDescent="0.3">
      <c r="A764" s="7">
        <v>45866</v>
      </c>
      <c r="B764" s="3">
        <v>7164</v>
      </c>
      <c r="C764" s="3">
        <v>3900</v>
      </c>
      <c r="D764" s="3">
        <f t="shared" si="33"/>
        <v>3264</v>
      </c>
      <c r="E764" s="5">
        <f t="shared" si="34"/>
        <v>0.54438860971524283</v>
      </c>
      <c r="F764" s="5">
        <f t="shared" si="35"/>
        <v>-2.7039961713328564E-2</v>
      </c>
    </row>
    <row r="765" spans="1:6" x14ac:dyDescent="0.3">
      <c r="A765" s="7">
        <v>45873</v>
      </c>
      <c r="B765" s="3">
        <v>7180</v>
      </c>
      <c r="C765" s="3">
        <v>3743</v>
      </c>
      <c r="D765" s="3">
        <f t="shared" si="33"/>
        <v>3437</v>
      </c>
      <c r="E765" s="5">
        <f t="shared" si="34"/>
        <v>0.52130919220055705</v>
      </c>
      <c r="F765" s="5">
        <f t="shared" si="35"/>
        <v>-5.0119379228014349E-2</v>
      </c>
    </row>
    <row r="766" spans="1:6" x14ac:dyDescent="0.3">
      <c r="A766" s="7">
        <v>45880</v>
      </c>
      <c r="B766" s="3">
        <v>7171</v>
      </c>
      <c r="C766" s="3">
        <v>5280</v>
      </c>
      <c r="D766" s="3">
        <f t="shared" si="33"/>
        <v>1891</v>
      </c>
      <c r="E766" s="5">
        <f t="shared" si="34"/>
        <v>0.73629898201087718</v>
      </c>
      <c r="F766" s="5">
        <f t="shared" si="35"/>
        <v>0.16487041058230578</v>
      </c>
    </row>
    <row r="767" spans="1:6" x14ac:dyDescent="0.3">
      <c r="A767" s="7">
        <v>45887</v>
      </c>
      <c r="B767" s="3">
        <v>7140</v>
      </c>
      <c r="C767" s="3">
        <v>4024</v>
      </c>
      <c r="D767" s="3">
        <f t="shared" si="33"/>
        <v>3116</v>
      </c>
      <c r="E767" s="5">
        <f t="shared" si="34"/>
        <v>0.56358543417366946</v>
      </c>
      <c r="F767" s="5">
        <f t="shared" si="35"/>
        <v>-7.8431372549019329E-3</v>
      </c>
    </row>
    <row r="768" spans="1:6" x14ac:dyDescent="0.3">
      <c r="A768" s="7">
        <v>45894</v>
      </c>
      <c r="B768" s="3">
        <v>7169</v>
      </c>
      <c r="C768" s="3">
        <v>4538</v>
      </c>
      <c r="D768" s="3">
        <f t="shared" si="33"/>
        <v>2631</v>
      </c>
      <c r="E768" s="5">
        <f t="shared" si="34"/>
        <v>0.63300320825777656</v>
      </c>
      <c r="F768" s="5">
        <f t="shared" si="35"/>
        <v>6.1574636829205165E-2</v>
      </c>
    </row>
    <row r="769" spans="1:6" x14ac:dyDescent="0.3">
      <c r="A769" s="7">
        <v>45901</v>
      </c>
      <c r="B769" s="3">
        <v>7133</v>
      </c>
      <c r="C769" s="3">
        <v>3816</v>
      </c>
      <c r="D769" s="3">
        <f t="shared" si="33"/>
        <v>3317</v>
      </c>
      <c r="E769" s="5">
        <f t="shared" si="34"/>
        <v>0.53497827001261744</v>
      </c>
      <c r="F769" s="5">
        <f t="shared" si="35"/>
        <v>-3.6450301415953956E-2</v>
      </c>
    </row>
    <row r="770" spans="1:6" x14ac:dyDescent="0.3">
      <c r="A770" s="7">
        <v>45908</v>
      </c>
      <c r="B770" s="3">
        <v>7164</v>
      </c>
      <c r="C770" s="3">
        <v>3037</v>
      </c>
      <c r="D770" s="3">
        <f t="shared" si="33"/>
        <v>4127</v>
      </c>
      <c r="E770" s="5">
        <f t="shared" si="34"/>
        <v>0.42392518146286989</v>
      </c>
      <c r="F770" s="5">
        <f t="shared" si="35"/>
        <v>-0.1475033899657015</v>
      </c>
    </row>
    <row r="771" spans="1:6" x14ac:dyDescent="0.3">
      <c r="A771" s="7">
        <v>45915</v>
      </c>
      <c r="B771" s="3">
        <v>7129</v>
      </c>
      <c r="C771" s="3">
        <v>4642</v>
      </c>
      <c r="D771" s="3">
        <f t="shared" si="33"/>
        <v>2487</v>
      </c>
      <c r="E771" s="5">
        <f t="shared" si="34"/>
        <v>0.65114321784261464</v>
      </c>
      <c r="F771" s="5">
        <f t="shared" si="35"/>
        <v>7.9714646414043244E-2</v>
      </c>
    </row>
    <row r="772" spans="1:6" x14ac:dyDescent="0.3">
      <c r="A772" s="7">
        <v>45922</v>
      </c>
      <c r="B772" s="3">
        <v>7139</v>
      </c>
      <c r="C772" s="3">
        <v>5642</v>
      </c>
      <c r="D772" s="3">
        <f t="shared" si="33"/>
        <v>1497</v>
      </c>
      <c r="E772" s="5">
        <f t="shared" si="34"/>
        <v>0.79030676565345281</v>
      </c>
      <c r="F772" s="5">
        <f t="shared" si="35"/>
        <v>0.21887819422488142</v>
      </c>
    </row>
    <row r="773" spans="1:6" x14ac:dyDescent="0.3">
      <c r="A773" s="7">
        <v>45929</v>
      </c>
      <c r="B773" s="3">
        <v>7148</v>
      </c>
      <c r="C773" s="3">
        <v>2940</v>
      </c>
      <c r="D773" s="3">
        <f t="shared" si="33"/>
        <v>4208</v>
      </c>
      <c r="E773" s="5">
        <f t="shared" si="34"/>
        <v>0.41130386121992163</v>
      </c>
      <c r="F773" s="5">
        <f t="shared" si="35"/>
        <v>-0.16012471020864977</v>
      </c>
    </row>
    <row r="774" spans="1:6" x14ac:dyDescent="0.3">
      <c r="A774" s="7">
        <v>45936</v>
      </c>
      <c r="B774" s="3">
        <v>7167</v>
      </c>
      <c r="C774" s="3">
        <v>5505</v>
      </c>
      <c r="D774" s="3">
        <f t="shared" si="33"/>
        <v>1662</v>
      </c>
      <c r="E774" s="5">
        <f t="shared" si="34"/>
        <v>0.76810380912515697</v>
      </c>
      <c r="F774" s="5">
        <f t="shared" si="35"/>
        <v>0.19667523769658557</v>
      </c>
    </row>
    <row r="775" spans="1:6" x14ac:dyDescent="0.3">
      <c r="A775" s="7">
        <v>45943</v>
      </c>
      <c r="B775" s="3">
        <v>7166</v>
      </c>
      <c r="C775" s="3">
        <v>4767</v>
      </c>
      <c r="D775" s="3">
        <f t="shared" si="33"/>
        <v>2399</v>
      </c>
      <c r="E775" s="5">
        <f t="shared" si="34"/>
        <v>0.66522467206251745</v>
      </c>
      <c r="F775" s="5">
        <f t="shared" si="35"/>
        <v>9.3796100633946056E-2</v>
      </c>
    </row>
    <row r="776" spans="1:6" x14ac:dyDescent="0.3">
      <c r="A776" s="7">
        <v>45950</v>
      </c>
      <c r="B776" s="3">
        <v>7147</v>
      </c>
      <c r="C776" s="3">
        <v>4391</v>
      </c>
      <c r="D776" s="3">
        <f t="shared" si="33"/>
        <v>2756</v>
      </c>
      <c r="E776" s="5">
        <f t="shared" si="34"/>
        <v>0.61438365747866241</v>
      </c>
      <c r="F776" s="5">
        <f t="shared" si="35"/>
        <v>4.2955086050091018E-2</v>
      </c>
    </row>
    <row r="777" spans="1:6" x14ac:dyDescent="0.3">
      <c r="A777" s="7">
        <v>45957</v>
      </c>
      <c r="B777" s="3">
        <v>7111</v>
      </c>
      <c r="C777" s="3">
        <v>4215</v>
      </c>
      <c r="D777" s="3">
        <f t="shared" ref="D777:D840" si="36">B777-C777</f>
        <v>2896</v>
      </c>
      <c r="E777" s="5">
        <f t="shared" ref="E777:E815" si="37">C777/B777</f>
        <v>0.59274363661932217</v>
      </c>
      <c r="F777" s="5">
        <f t="shared" ref="F777:F840" si="38">E777-$B$6</f>
        <v>2.131506519075077E-2</v>
      </c>
    </row>
    <row r="778" spans="1:6" x14ac:dyDescent="0.3">
      <c r="A778" s="7">
        <v>45964</v>
      </c>
      <c r="B778" s="3">
        <v>7154</v>
      </c>
      <c r="C778" s="3">
        <v>5004</v>
      </c>
      <c r="D778" s="3">
        <f t="shared" si="36"/>
        <v>2150</v>
      </c>
      <c r="E778" s="5">
        <f t="shared" si="37"/>
        <v>0.69946882862734139</v>
      </c>
      <c r="F778" s="5">
        <f t="shared" si="38"/>
        <v>0.12804025719876999</v>
      </c>
    </row>
    <row r="779" spans="1:6" x14ac:dyDescent="0.3">
      <c r="A779" s="7">
        <v>45971</v>
      </c>
      <c r="B779" s="3">
        <v>7169</v>
      </c>
      <c r="C779" s="3">
        <v>4993</v>
      </c>
      <c r="D779" s="3">
        <f t="shared" si="36"/>
        <v>2176</v>
      </c>
      <c r="E779" s="5">
        <f t="shared" si="37"/>
        <v>0.69647091644580839</v>
      </c>
      <c r="F779" s="5">
        <f t="shared" si="38"/>
        <v>0.12504234501723699</v>
      </c>
    </row>
    <row r="780" spans="1:6" x14ac:dyDescent="0.3">
      <c r="A780" s="7">
        <v>45978</v>
      </c>
      <c r="B780" s="3">
        <v>7177</v>
      </c>
      <c r="C780" s="3">
        <v>4155</v>
      </c>
      <c r="D780" s="3">
        <f t="shared" si="36"/>
        <v>3022</v>
      </c>
      <c r="E780" s="5">
        <f t="shared" si="37"/>
        <v>0.57893270168594124</v>
      </c>
      <c r="F780" s="5">
        <f t="shared" si="38"/>
        <v>7.5041302573698454E-3</v>
      </c>
    </row>
    <row r="781" spans="1:6" x14ac:dyDescent="0.3">
      <c r="A781" s="7">
        <v>45985</v>
      </c>
      <c r="B781" s="3">
        <v>7131</v>
      </c>
      <c r="C781" s="3">
        <v>3227</v>
      </c>
      <c r="D781" s="3">
        <f t="shared" si="36"/>
        <v>3904</v>
      </c>
      <c r="E781" s="5">
        <f t="shared" si="37"/>
        <v>0.45253120179497969</v>
      </c>
      <c r="F781" s="5">
        <f t="shared" si="38"/>
        <v>-0.11889736963359171</v>
      </c>
    </row>
    <row r="782" spans="1:6" x14ac:dyDescent="0.3">
      <c r="A782" s="7">
        <v>45992</v>
      </c>
      <c r="B782" s="3">
        <v>7148</v>
      </c>
      <c r="C782" s="3">
        <v>3061</v>
      </c>
      <c r="D782" s="3">
        <f t="shared" si="36"/>
        <v>4087</v>
      </c>
      <c r="E782" s="5">
        <f t="shared" si="37"/>
        <v>0.42823167319529937</v>
      </c>
      <c r="F782" s="5">
        <f t="shared" si="38"/>
        <v>-0.14319689823327203</v>
      </c>
    </row>
    <row r="783" spans="1:6" x14ac:dyDescent="0.3">
      <c r="A783" s="7">
        <v>45999</v>
      </c>
      <c r="B783" s="3">
        <v>7178</v>
      </c>
      <c r="C783" s="3">
        <v>4118</v>
      </c>
      <c r="D783" s="3">
        <f t="shared" si="36"/>
        <v>3060</v>
      </c>
      <c r="E783" s="5">
        <f t="shared" si="37"/>
        <v>0.57369740874895514</v>
      </c>
      <c r="F783" s="5">
        <f t="shared" si="38"/>
        <v>2.2688373203837431E-3</v>
      </c>
    </row>
    <row r="784" spans="1:6" x14ac:dyDescent="0.3">
      <c r="A784" s="7">
        <v>46006</v>
      </c>
      <c r="B784" s="3">
        <v>7158</v>
      </c>
      <c r="C784" s="3">
        <v>3903</v>
      </c>
      <c r="D784" s="3">
        <f t="shared" si="36"/>
        <v>3255</v>
      </c>
      <c r="E784" s="5">
        <f t="shared" si="37"/>
        <v>0.54526404023470243</v>
      </c>
      <c r="F784" s="5">
        <f t="shared" si="38"/>
        <v>-2.6164531193868967E-2</v>
      </c>
    </row>
    <row r="785" spans="1:6" x14ac:dyDescent="0.3">
      <c r="A785" s="7">
        <v>46013</v>
      </c>
      <c r="B785" s="3">
        <v>5083</v>
      </c>
      <c r="C785" s="3">
        <v>3348</v>
      </c>
      <c r="D785" s="3">
        <f t="shared" si="36"/>
        <v>1735</v>
      </c>
      <c r="E785" s="5">
        <f t="shared" si="37"/>
        <v>0.65866614204210117</v>
      </c>
      <c r="F785" s="5">
        <f t="shared" si="38"/>
        <v>8.7237570613529769E-2</v>
      </c>
    </row>
    <row r="786" spans="1:6" x14ac:dyDescent="0.3">
      <c r="A786" s="7">
        <v>46020</v>
      </c>
      <c r="B786" s="3">
        <v>5526</v>
      </c>
      <c r="C786" s="3">
        <v>3663</v>
      </c>
      <c r="D786" s="3">
        <f t="shared" si="36"/>
        <v>1863</v>
      </c>
      <c r="E786" s="5">
        <f t="shared" si="37"/>
        <v>0.66286644951140061</v>
      </c>
      <c r="F786" s="5">
        <f t="shared" si="38"/>
        <v>9.1437878082829216E-2</v>
      </c>
    </row>
    <row r="787" spans="1:6" x14ac:dyDescent="0.3">
      <c r="A787" s="7">
        <v>46027</v>
      </c>
      <c r="B787" s="3">
        <v>7153</v>
      </c>
      <c r="C787" s="3">
        <v>4501</v>
      </c>
      <c r="D787" s="3">
        <f t="shared" si="36"/>
        <v>2652</v>
      </c>
      <c r="E787" s="5">
        <f t="shared" si="37"/>
        <v>0.62924647001258216</v>
      </c>
      <c r="F787" s="5">
        <f t="shared" si="38"/>
        <v>5.7817898584010763E-2</v>
      </c>
    </row>
    <row r="788" spans="1:6" x14ac:dyDescent="0.3">
      <c r="A788" s="7">
        <v>46034</v>
      </c>
      <c r="B788" s="3">
        <v>7163</v>
      </c>
      <c r="C788" s="3">
        <v>4632</v>
      </c>
      <c r="D788" s="3">
        <f t="shared" si="36"/>
        <v>2531</v>
      </c>
      <c r="E788" s="5">
        <f t="shared" si="37"/>
        <v>0.64665642887058494</v>
      </c>
      <c r="F788" s="5">
        <f t="shared" si="38"/>
        <v>7.5227857442013546E-2</v>
      </c>
    </row>
    <row r="789" spans="1:6" x14ac:dyDescent="0.3">
      <c r="A789" s="7">
        <v>46041</v>
      </c>
      <c r="B789" s="3">
        <v>7147</v>
      </c>
      <c r="C789" s="3">
        <v>5317</v>
      </c>
      <c r="D789" s="3">
        <f t="shared" si="36"/>
        <v>1830</v>
      </c>
      <c r="E789" s="5">
        <f t="shared" si="37"/>
        <v>0.74394850986427874</v>
      </c>
      <c r="F789" s="5">
        <f t="shared" si="38"/>
        <v>0.17251993843570734</v>
      </c>
    </row>
    <row r="790" spans="1:6" x14ac:dyDescent="0.3">
      <c r="A790" s="7">
        <v>46048</v>
      </c>
      <c r="B790" s="3">
        <v>7184</v>
      </c>
      <c r="C790" s="3">
        <v>3526</v>
      </c>
      <c r="D790" s="3">
        <f t="shared" si="36"/>
        <v>3658</v>
      </c>
      <c r="E790" s="5">
        <f t="shared" si="37"/>
        <v>0.49081291759465479</v>
      </c>
      <c r="F790" s="5">
        <f t="shared" si="38"/>
        <v>-8.0615653833916612E-2</v>
      </c>
    </row>
    <row r="791" spans="1:6" x14ac:dyDescent="0.3">
      <c r="A791" s="7">
        <v>46055</v>
      </c>
      <c r="B791" s="3">
        <v>7182</v>
      </c>
      <c r="C791" s="3">
        <v>3388</v>
      </c>
      <c r="D791" s="3">
        <f t="shared" si="36"/>
        <v>3794</v>
      </c>
      <c r="E791" s="5">
        <f t="shared" si="37"/>
        <v>0.47173489278752434</v>
      </c>
      <c r="F791" s="5">
        <f t="shared" si="38"/>
        <v>-9.9693678641047057E-2</v>
      </c>
    </row>
    <row r="792" spans="1:6" x14ac:dyDescent="0.3">
      <c r="A792" s="7">
        <v>46062</v>
      </c>
      <c r="B792" s="3">
        <v>7178</v>
      </c>
      <c r="C792" s="3">
        <v>4659</v>
      </c>
      <c r="D792" s="3">
        <f t="shared" si="36"/>
        <v>2519</v>
      </c>
      <c r="E792" s="5">
        <f t="shared" si="37"/>
        <v>0.64906659236556141</v>
      </c>
      <c r="F792" s="5">
        <f t="shared" si="38"/>
        <v>7.7638020936990015E-2</v>
      </c>
    </row>
    <row r="793" spans="1:6" x14ac:dyDescent="0.3">
      <c r="A793" s="7">
        <v>46069</v>
      </c>
      <c r="B793" s="3">
        <v>7108</v>
      </c>
      <c r="C793" s="3">
        <v>5232</v>
      </c>
      <c r="D793" s="3">
        <f t="shared" si="36"/>
        <v>1876</v>
      </c>
      <c r="E793" s="5">
        <f t="shared" si="37"/>
        <v>0.73607203151378731</v>
      </c>
      <c r="F793" s="5">
        <f t="shared" si="38"/>
        <v>0.16464346008521591</v>
      </c>
    </row>
    <row r="794" spans="1:6" x14ac:dyDescent="0.3">
      <c r="A794" s="7">
        <v>46076</v>
      </c>
      <c r="B794" s="3">
        <v>7174</v>
      </c>
      <c r="C794" s="3">
        <v>2894</v>
      </c>
      <c r="D794" s="3">
        <f t="shared" si="36"/>
        <v>4280</v>
      </c>
      <c r="E794" s="5">
        <f t="shared" si="37"/>
        <v>0.40340117089489824</v>
      </c>
      <c r="F794" s="5">
        <f t="shared" si="38"/>
        <v>-0.16802740053367315</v>
      </c>
    </row>
    <row r="795" spans="1:6" x14ac:dyDescent="0.3">
      <c r="A795" s="7">
        <v>46083</v>
      </c>
      <c r="B795" s="3">
        <v>7186</v>
      </c>
      <c r="C795" s="3">
        <v>4824</v>
      </c>
      <c r="D795" s="3">
        <f t="shared" si="36"/>
        <v>2362</v>
      </c>
      <c r="E795" s="5">
        <f t="shared" si="37"/>
        <v>0.67130531589201226</v>
      </c>
      <c r="F795" s="5">
        <f t="shared" si="38"/>
        <v>9.9876744463440859E-2</v>
      </c>
    </row>
    <row r="796" spans="1:6" x14ac:dyDescent="0.3">
      <c r="A796" s="7">
        <v>46090</v>
      </c>
      <c r="B796" s="3">
        <v>7129</v>
      </c>
      <c r="C796" s="3">
        <v>4528</v>
      </c>
      <c r="D796" s="3">
        <f t="shared" si="36"/>
        <v>2601</v>
      </c>
      <c r="E796" s="5">
        <f t="shared" si="37"/>
        <v>0.63515219525880207</v>
      </c>
      <c r="F796" s="5">
        <f t="shared" si="38"/>
        <v>6.3723623830230669E-2</v>
      </c>
    </row>
    <row r="797" spans="1:6" x14ac:dyDescent="0.3">
      <c r="A797" s="7">
        <v>46097</v>
      </c>
      <c r="B797" s="3">
        <v>7115</v>
      </c>
      <c r="C797" s="3">
        <v>3943</v>
      </c>
      <c r="D797" s="3">
        <f t="shared" si="36"/>
        <v>3172</v>
      </c>
      <c r="E797" s="5">
        <f t="shared" si="37"/>
        <v>0.55418130709768099</v>
      </c>
      <c r="F797" s="5">
        <f t="shared" si="38"/>
        <v>-1.7247264330890411E-2</v>
      </c>
    </row>
    <row r="798" spans="1:6" x14ac:dyDescent="0.3">
      <c r="A798" s="7">
        <v>46104</v>
      </c>
      <c r="B798" s="3">
        <v>7126</v>
      </c>
      <c r="C798" s="3">
        <v>4615</v>
      </c>
      <c r="D798" s="3">
        <f t="shared" si="36"/>
        <v>2511</v>
      </c>
      <c r="E798" s="5">
        <f t="shared" si="37"/>
        <v>0.64762840303115354</v>
      </c>
      <c r="F798" s="5">
        <f t="shared" si="38"/>
        <v>7.6199831602582146E-2</v>
      </c>
    </row>
    <row r="799" spans="1:6" x14ac:dyDescent="0.3">
      <c r="A799" s="7">
        <v>46111</v>
      </c>
      <c r="B799" s="3">
        <v>7112</v>
      </c>
      <c r="C799" s="3">
        <v>4080</v>
      </c>
      <c r="D799" s="3">
        <f t="shared" si="36"/>
        <v>3032</v>
      </c>
      <c r="E799" s="5">
        <f t="shared" si="37"/>
        <v>0.5736782902137233</v>
      </c>
      <c r="F799" s="5">
        <f t="shared" si="38"/>
        <v>2.2497187851518996E-3</v>
      </c>
    </row>
    <row r="800" spans="1:6" x14ac:dyDescent="0.3">
      <c r="A800" s="7">
        <v>46118</v>
      </c>
      <c r="B800" s="3">
        <v>7163</v>
      </c>
      <c r="C800" s="3">
        <v>4627</v>
      </c>
      <c r="D800" s="3">
        <f t="shared" si="36"/>
        <v>2536</v>
      </c>
      <c r="E800" s="5">
        <f t="shared" si="37"/>
        <v>0.64595839731955884</v>
      </c>
      <c r="F800" s="5">
        <f t="shared" si="38"/>
        <v>7.4529825890987444E-2</v>
      </c>
    </row>
    <row r="801" spans="1:6" x14ac:dyDescent="0.3">
      <c r="A801" s="7">
        <v>46125</v>
      </c>
      <c r="B801" s="3">
        <v>7174</v>
      </c>
      <c r="C801" s="3">
        <v>4647</v>
      </c>
      <c r="D801" s="3">
        <f t="shared" si="36"/>
        <v>2527</v>
      </c>
      <c r="E801" s="5">
        <f t="shared" si="37"/>
        <v>0.64775578477836637</v>
      </c>
      <c r="F801" s="5">
        <f t="shared" si="38"/>
        <v>7.6327213349794976E-2</v>
      </c>
    </row>
    <row r="802" spans="1:6" x14ac:dyDescent="0.3">
      <c r="A802" s="7">
        <v>46132</v>
      </c>
      <c r="B802" s="3">
        <v>7162</v>
      </c>
      <c r="C802" s="3">
        <v>3874</v>
      </c>
      <c r="D802" s="3">
        <f t="shared" si="36"/>
        <v>3288</v>
      </c>
      <c r="E802" s="5">
        <f t="shared" si="37"/>
        <v>0.5409103602345714</v>
      </c>
      <c r="F802" s="5">
        <f t="shared" si="38"/>
        <v>-3.0518211194E-2</v>
      </c>
    </row>
    <row r="803" spans="1:6" x14ac:dyDescent="0.3">
      <c r="A803" s="7">
        <v>46139</v>
      </c>
      <c r="B803" s="3">
        <v>7140</v>
      </c>
      <c r="C803" s="3">
        <v>4283</v>
      </c>
      <c r="D803" s="3">
        <f t="shared" si="36"/>
        <v>2857</v>
      </c>
      <c r="E803" s="5">
        <f t="shared" si="37"/>
        <v>0.59985994397759101</v>
      </c>
      <c r="F803" s="5">
        <f t="shared" si="38"/>
        <v>2.8431372549019618E-2</v>
      </c>
    </row>
    <row r="804" spans="1:6" x14ac:dyDescent="0.3">
      <c r="A804" s="7">
        <v>46146</v>
      </c>
      <c r="B804" s="3">
        <v>7152</v>
      </c>
      <c r="C804" s="3">
        <v>4415</v>
      </c>
      <c r="D804" s="3">
        <f t="shared" si="36"/>
        <v>2737</v>
      </c>
      <c r="E804" s="5">
        <f t="shared" si="37"/>
        <v>0.61730984340044748</v>
      </c>
      <c r="F804" s="5">
        <f t="shared" si="38"/>
        <v>4.5881271971876081E-2</v>
      </c>
    </row>
    <row r="805" spans="1:6" x14ac:dyDescent="0.3">
      <c r="A805" s="7">
        <v>46153</v>
      </c>
      <c r="B805" s="3">
        <v>7154</v>
      </c>
      <c r="C805" s="3">
        <v>5690</v>
      </c>
      <c r="D805" s="3">
        <f t="shared" si="36"/>
        <v>1464</v>
      </c>
      <c r="E805" s="5">
        <f t="shared" si="37"/>
        <v>0.79535923958624544</v>
      </c>
      <c r="F805" s="5">
        <f t="shared" si="38"/>
        <v>0.22393066815767404</v>
      </c>
    </row>
    <row r="806" spans="1:6" x14ac:dyDescent="0.3">
      <c r="A806" s="7">
        <v>46160</v>
      </c>
      <c r="B806" s="3">
        <v>7162</v>
      </c>
      <c r="C806" s="3">
        <v>2919</v>
      </c>
      <c r="D806" s="3">
        <f t="shared" si="36"/>
        <v>4243</v>
      </c>
      <c r="E806" s="5">
        <f t="shared" si="37"/>
        <v>0.40756771851438145</v>
      </c>
      <c r="F806" s="5">
        <f t="shared" si="38"/>
        <v>-0.16386085291418995</v>
      </c>
    </row>
    <row r="807" spans="1:6" x14ac:dyDescent="0.3">
      <c r="A807" s="7">
        <v>46167</v>
      </c>
      <c r="B807" s="3">
        <v>7138</v>
      </c>
      <c r="C807" s="3">
        <v>2431</v>
      </c>
      <c r="D807" s="3">
        <f t="shared" si="36"/>
        <v>4707</v>
      </c>
      <c r="E807" s="5">
        <f t="shared" si="37"/>
        <v>0.34057158868030263</v>
      </c>
      <c r="F807" s="5">
        <f t="shared" si="38"/>
        <v>-0.23085698274826877</v>
      </c>
    </row>
    <row r="808" spans="1:6" x14ac:dyDescent="0.3">
      <c r="A808" s="7">
        <v>46174</v>
      </c>
      <c r="B808" s="3">
        <v>7148</v>
      </c>
      <c r="C808" s="3">
        <v>3104</v>
      </c>
      <c r="D808" s="3">
        <f t="shared" si="36"/>
        <v>4044</v>
      </c>
      <c r="E808" s="5">
        <f t="shared" si="37"/>
        <v>0.43424734191382203</v>
      </c>
      <c r="F808" s="5">
        <f t="shared" si="38"/>
        <v>-0.13718122951474937</v>
      </c>
    </row>
    <row r="809" spans="1:6" x14ac:dyDescent="0.3">
      <c r="A809" s="7">
        <v>46181</v>
      </c>
      <c r="B809" s="3">
        <v>7160</v>
      </c>
      <c r="C809" s="3">
        <v>2228</v>
      </c>
      <c r="D809" s="3">
        <f t="shared" si="36"/>
        <v>4932</v>
      </c>
      <c r="E809" s="5">
        <f t="shared" si="37"/>
        <v>0.31117318435754188</v>
      </c>
      <c r="F809" s="5">
        <f t="shared" si="38"/>
        <v>-0.26025538707102952</v>
      </c>
    </row>
    <row r="810" spans="1:6" x14ac:dyDescent="0.3">
      <c r="A810" s="7">
        <v>46188</v>
      </c>
      <c r="B810" s="3">
        <v>7167</v>
      </c>
      <c r="C810" s="3">
        <v>4792</v>
      </c>
      <c r="D810" s="3">
        <f t="shared" si="36"/>
        <v>2375</v>
      </c>
      <c r="E810" s="5">
        <f t="shared" si="37"/>
        <v>0.6686200641830613</v>
      </c>
      <c r="F810" s="5">
        <f t="shared" si="38"/>
        <v>9.7191492754489905E-2</v>
      </c>
    </row>
    <row r="811" spans="1:6" x14ac:dyDescent="0.3">
      <c r="A811" s="7">
        <v>46195</v>
      </c>
      <c r="B811" s="3">
        <v>7166</v>
      </c>
      <c r="C811" s="3">
        <v>4831</v>
      </c>
      <c r="D811" s="3">
        <f t="shared" si="36"/>
        <v>2335</v>
      </c>
      <c r="E811" s="5">
        <f t="shared" si="37"/>
        <v>0.67415573541724816</v>
      </c>
      <c r="F811" s="5">
        <f t="shared" si="38"/>
        <v>0.10272716398867676</v>
      </c>
    </row>
    <row r="812" spans="1:6" x14ac:dyDescent="0.3">
      <c r="A812" s="7">
        <v>46202</v>
      </c>
      <c r="B812" s="3">
        <v>7133</v>
      </c>
      <c r="C812" s="3">
        <v>3680</v>
      </c>
      <c r="D812" s="3">
        <f t="shared" si="36"/>
        <v>3453</v>
      </c>
      <c r="E812" s="5">
        <f t="shared" si="37"/>
        <v>0.51591195850273375</v>
      </c>
      <c r="F812" s="5">
        <f t="shared" si="38"/>
        <v>-5.551661292583765E-2</v>
      </c>
    </row>
    <row r="813" spans="1:6" x14ac:dyDescent="0.3">
      <c r="A813" s="7">
        <v>46209</v>
      </c>
      <c r="B813" s="3">
        <v>7146</v>
      </c>
      <c r="C813" s="3">
        <v>2009</v>
      </c>
      <c r="D813" s="3">
        <f t="shared" si="36"/>
        <v>5137</v>
      </c>
      <c r="E813" s="5">
        <f t="shared" si="37"/>
        <v>0.28113630002798767</v>
      </c>
      <c r="F813" s="5">
        <f t="shared" si="38"/>
        <v>-0.29029227140058372</v>
      </c>
    </row>
    <row r="814" spans="1:6" x14ac:dyDescent="0.3">
      <c r="A814" s="7">
        <v>46216</v>
      </c>
      <c r="B814" s="3">
        <v>7152</v>
      </c>
      <c r="C814" s="3">
        <v>3967</v>
      </c>
      <c r="D814" s="3">
        <f t="shared" si="36"/>
        <v>3185</v>
      </c>
      <c r="E814" s="5">
        <f t="shared" si="37"/>
        <v>0.55467002237136465</v>
      </c>
      <c r="F814" s="5">
        <f t="shared" si="38"/>
        <v>-1.6758549057206751E-2</v>
      </c>
    </row>
    <row r="815" spans="1:6" x14ac:dyDescent="0.3">
      <c r="A815" s="7">
        <v>46223</v>
      </c>
      <c r="B815" s="3">
        <v>4941</v>
      </c>
      <c r="C815" s="3">
        <v>20</v>
      </c>
      <c r="D815" s="3">
        <f t="shared" si="36"/>
        <v>4921</v>
      </c>
      <c r="E815" s="5">
        <f t="shared" si="37"/>
        <v>4.0477636106051405E-3</v>
      </c>
      <c r="F815" s="5">
        <f t="shared" si="38"/>
        <v>-0.56738080781796629</v>
      </c>
    </row>
  </sheetData>
  <conditionalFormatting sqref="E9:E815">
    <cfRule type="colorScale" priority="1">
      <colorScale>
        <cfvo type="min"/>
        <cfvo type="num" val="0.5714285714285714"/>
        <cfvo type="max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Khymchenko Oleg</cp:lastModifiedBy>
  <dcterms:created xsi:type="dcterms:W3CDTF">2026-07-23T08:56:42Z</dcterms:created>
  <dcterms:modified xsi:type="dcterms:W3CDTF">2026-07-23T08:57:21Z</dcterms:modified>
</cp:coreProperties>
</file>