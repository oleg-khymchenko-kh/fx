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8CEAE1FC-CC44-4667-84CB-D0F20729E575}" xr6:coauthVersionLast="47" xr6:coauthVersionMax="47" xr10:uidLastSave="{00000000-0000-0000-0000-000000000000}"/>
  <bookViews>
    <workbookView xWindow="3168" yWindow="3132" windowWidth="16704" windowHeight="8760" xr2:uid="{00000000-000D-0000-FFFF-FFFF00000000}"/>
  </bookViews>
  <sheets>
    <sheet name="Прогнозы" sheetId="1" r:id="rId1"/>
    <sheet name="Итоги по рангам" sheetId="2" r:id="rId2"/>
    <sheet name="По месяцам" sheetId="3" r:id="rId3"/>
  </sheets>
  <definedNames>
    <definedName name="_xlnm._FilterDatabase" localSheetId="0" hidden="1">Прогнозы!$A$1:$U$191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G20" i="3"/>
  <c r="F20" i="3"/>
  <c r="E20" i="3"/>
  <c r="I20" i="3" s="1"/>
  <c r="D20" i="3"/>
  <c r="C20" i="3"/>
  <c r="B20" i="3"/>
  <c r="H19" i="3"/>
  <c r="G19" i="3"/>
  <c r="F19" i="3"/>
  <c r="E19" i="3"/>
  <c r="I19" i="3" s="1"/>
  <c r="D19" i="3"/>
  <c r="C19" i="3"/>
  <c r="B19" i="3"/>
  <c r="H18" i="3"/>
  <c r="G18" i="3"/>
  <c r="F18" i="3"/>
  <c r="E18" i="3"/>
  <c r="I18" i="3" s="1"/>
  <c r="D18" i="3"/>
  <c r="C18" i="3"/>
  <c r="B18" i="3"/>
  <c r="H17" i="3"/>
  <c r="G17" i="3"/>
  <c r="F17" i="3"/>
  <c r="E17" i="3"/>
  <c r="I17" i="3" s="1"/>
  <c r="D17" i="3"/>
  <c r="C17" i="3"/>
  <c r="B17" i="3"/>
  <c r="H16" i="3"/>
  <c r="G16" i="3"/>
  <c r="F16" i="3"/>
  <c r="E16" i="3"/>
  <c r="I16" i="3" s="1"/>
  <c r="D16" i="3"/>
  <c r="C16" i="3"/>
  <c r="B16" i="3"/>
  <c r="H15" i="3"/>
  <c r="G15" i="3"/>
  <c r="F15" i="3"/>
  <c r="E15" i="3"/>
  <c r="I15" i="3" s="1"/>
  <c r="D15" i="3"/>
  <c r="C15" i="3"/>
  <c r="B15" i="3"/>
  <c r="H14" i="3"/>
  <c r="G14" i="3"/>
  <c r="F14" i="3"/>
  <c r="E14" i="3"/>
  <c r="I14" i="3" s="1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I12" i="3" s="1"/>
  <c r="D12" i="3"/>
  <c r="C12" i="3"/>
  <c r="B12" i="3"/>
  <c r="H11" i="3"/>
  <c r="G11" i="3"/>
  <c r="F11" i="3"/>
  <c r="E11" i="3"/>
  <c r="I11" i="3" s="1"/>
  <c r="D11" i="3"/>
  <c r="C11" i="3"/>
  <c r="B11" i="3"/>
  <c r="H10" i="3"/>
  <c r="G10" i="3"/>
  <c r="F10" i="3"/>
  <c r="E10" i="3"/>
  <c r="I10" i="3" s="1"/>
  <c r="D10" i="3"/>
  <c r="C10" i="3"/>
  <c r="B10" i="3"/>
  <c r="H9" i="3"/>
  <c r="G9" i="3"/>
  <c r="F9" i="3"/>
  <c r="E9" i="3"/>
  <c r="I9" i="3" s="1"/>
  <c r="D9" i="3"/>
  <c r="C9" i="3"/>
  <c r="B9" i="3"/>
  <c r="H8" i="3"/>
  <c r="G8" i="3"/>
  <c r="F8" i="3"/>
  <c r="E8" i="3"/>
  <c r="I8" i="3" s="1"/>
  <c r="D8" i="3"/>
  <c r="C8" i="3"/>
  <c r="B8" i="3"/>
  <c r="H7" i="3"/>
  <c r="G7" i="3"/>
  <c r="F7" i="3"/>
  <c r="E7" i="3"/>
  <c r="I7" i="3" s="1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I5" i="3" s="1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I3" i="3" s="1"/>
  <c r="D3" i="3"/>
  <c r="C3" i="3"/>
  <c r="B3" i="3"/>
  <c r="H2" i="3"/>
  <c r="H21" i="3" s="1"/>
  <c r="G2" i="3"/>
  <c r="G21" i="3" s="1"/>
  <c r="F2" i="3"/>
  <c r="F21" i="3" s="1"/>
  <c r="E2" i="3"/>
  <c r="D2" i="3"/>
  <c r="D21" i="3" s="1"/>
  <c r="C2" i="3"/>
  <c r="C21" i="3" s="1"/>
  <c r="B2" i="3"/>
  <c r="B21" i="3" s="1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I12" i="2" s="1"/>
  <c r="H2" i="2"/>
  <c r="H12" i="2" s="1"/>
  <c r="G2" i="2"/>
  <c r="G12" i="2" s="1"/>
  <c r="F2" i="2"/>
  <c r="F12" i="2" s="1"/>
  <c r="E2" i="2"/>
  <c r="E12" i="2" s="1"/>
  <c r="D2" i="2"/>
  <c r="D12" i="2" s="1"/>
  <c r="C2" i="2"/>
  <c r="C12" i="2" s="1"/>
  <c r="B2" i="2"/>
  <c r="B12" i="2" s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I6" i="3" l="1"/>
  <c r="I4" i="3"/>
  <c r="I13" i="3"/>
  <c r="I2" i="3"/>
  <c r="E21" i="3"/>
  <c r="I21" i="3" s="1"/>
  <c r="L12" i="2"/>
  <c r="K12" i="2"/>
  <c r="J12" i="2"/>
  <c r="L11" i="2"/>
  <c r="K11" i="2"/>
  <c r="J11" i="2"/>
  <c r="L10" i="2"/>
  <c r="K10" i="2"/>
  <c r="J10" i="2"/>
  <c r="L9" i="2"/>
  <c r="K9" i="2"/>
  <c r="J9" i="2"/>
  <c r="J8" i="2"/>
  <c r="L8" i="2"/>
  <c r="K8" i="2"/>
  <c r="L7" i="2"/>
  <c r="J7" i="2"/>
  <c r="K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</calcChain>
</file>

<file path=xl/sharedStrings.xml><?xml version="1.0" encoding="utf-8"?>
<sst xmlns="http://schemas.openxmlformats.org/spreadsheetml/2006/main" count="634" uniqueCount="128">
  <si>
    <t>Месяц</t>
  </si>
  <si>
    <t>Ранг</t>
  </si>
  <si>
    <t>A1</t>
  </si>
  <si>
    <t>A2</t>
  </si>
  <si>
    <t>A1, мин</t>
  </si>
  <si>
    <t>A2, мин</t>
  </si>
  <si>
    <t>X, пипс</t>
  </si>
  <si>
    <t>SL, пипс</t>
  </si>
  <si>
    <t>TP, пипс</t>
  </si>
  <si>
    <t>Риск</t>
  </si>
  <si>
    <t>Год подбора, $</t>
  </si>
  <si>
    <t>Последний месяц подбора, $</t>
  </si>
  <si>
    <t>Прогнозный месяц, $</t>
  </si>
  <si>
    <t>Пипсы за месяц</t>
  </si>
  <si>
    <t>Сделок</t>
  </si>
  <si>
    <t>Прямые</t>
  </si>
  <si>
    <t>Зеркальные</t>
  </si>
  <si>
    <t>Фейлы</t>
  </si>
  <si>
    <t>Реальный % прямых</t>
  </si>
  <si>
    <t>Безубыточный %</t>
  </si>
  <si>
    <t>Дельта %</t>
  </si>
  <si>
    <t>2025-01</t>
  </si>
  <si>
    <t>2.5 ч</t>
  </si>
  <si>
    <t>11 ч</t>
  </si>
  <si>
    <t>15 ч</t>
  </si>
  <si>
    <t>15.5 ч</t>
  </si>
  <si>
    <t>1.06 д</t>
  </si>
  <si>
    <t>1.23 д</t>
  </si>
  <si>
    <t>1.1 д</t>
  </si>
  <si>
    <t>1.17 д</t>
  </si>
  <si>
    <t>5.5 ч</t>
  </si>
  <si>
    <t>21.5 ч</t>
  </si>
  <si>
    <t>18.5 ч</t>
  </si>
  <si>
    <t>1.81 д</t>
  </si>
  <si>
    <t>14.5 ч</t>
  </si>
  <si>
    <t>1.65 д</t>
  </si>
  <si>
    <t>7.5 ч</t>
  </si>
  <si>
    <t>8 ч</t>
  </si>
  <si>
    <t>1 мин</t>
  </si>
  <si>
    <t>1.46 д</t>
  </si>
  <si>
    <t>6 ч</t>
  </si>
  <si>
    <t>1.21 д</t>
  </si>
  <si>
    <t>2025-02</t>
  </si>
  <si>
    <t>4 ч</t>
  </si>
  <si>
    <t>4.5 ч</t>
  </si>
  <si>
    <t>20.5 ч</t>
  </si>
  <si>
    <t>1.5 ч</t>
  </si>
  <si>
    <t>17 ч</t>
  </si>
  <si>
    <t>1.9 д</t>
  </si>
  <si>
    <t>2.17 д</t>
  </si>
  <si>
    <t>13.5 ч</t>
  </si>
  <si>
    <t>5 ч</t>
  </si>
  <si>
    <t>23 ч</t>
  </si>
  <si>
    <t>12 ч</t>
  </si>
  <si>
    <t>6.5 ч</t>
  </si>
  <si>
    <t>17.5 ч</t>
  </si>
  <si>
    <t>2025-03</t>
  </si>
  <si>
    <t>7 ч</t>
  </si>
  <si>
    <t>13 ч</t>
  </si>
  <si>
    <t>19 ч</t>
  </si>
  <si>
    <t>1.75 д</t>
  </si>
  <si>
    <t>18 ч</t>
  </si>
  <si>
    <t>11.5 ч</t>
  </si>
  <si>
    <t>1.02 д</t>
  </si>
  <si>
    <t>1 ч</t>
  </si>
  <si>
    <t>2025-04</t>
  </si>
  <si>
    <t>2 ч</t>
  </si>
  <si>
    <t>3.5 ч</t>
  </si>
  <si>
    <t>20 ч</t>
  </si>
  <si>
    <t>1.71 д</t>
  </si>
  <si>
    <t>2.5 д</t>
  </si>
  <si>
    <t>2.67 д</t>
  </si>
  <si>
    <t>2025-05</t>
  </si>
  <si>
    <t>1.35 д</t>
  </si>
  <si>
    <t>10 мин</t>
  </si>
  <si>
    <t>2025-06</t>
  </si>
  <si>
    <t>5 мин</t>
  </si>
  <si>
    <t>7 мин</t>
  </si>
  <si>
    <t>1.08 д</t>
  </si>
  <si>
    <t>6 мин</t>
  </si>
  <si>
    <t>12.5 ч</t>
  </si>
  <si>
    <t>2025-07</t>
  </si>
  <si>
    <t>3 мин</t>
  </si>
  <si>
    <t>4 мин</t>
  </si>
  <si>
    <t>22 ч</t>
  </si>
  <si>
    <t>2 мин</t>
  </si>
  <si>
    <t>2025-08</t>
  </si>
  <si>
    <t>9 ч</t>
  </si>
  <si>
    <t>2025-09</t>
  </si>
  <si>
    <t>30 мин</t>
  </si>
  <si>
    <t>2025-10</t>
  </si>
  <si>
    <t>9.5 ч</t>
  </si>
  <si>
    <t>1.52 д</t>
  </si>
  <si>
    <t>23.5 ч</t>
  </si>
  <si>
    <t>2025-11</t>
  </si>
  <si>
    <t>16.5 ч</t>
  </si>
  <si>
    <t>15 мин</t>
  </si>
  <si>
    <t>2025-12</t>
  </si>
  <si>
    <t>1.29 д</t>
  </si>
  <si>
    <t>1.5 д</t>
  </si>
  <si>
    <t>2026-01</t>
  </si>
  <si>
    <t>8.5 ч</t>
  </si>
  <si>
    <t>9 мин</t>
  </si>
  <si>
    <t>10 ч</t>
  </si>
  <si>
    <t>2026-02</t>
  </si>
  <si>
    <t>22.5 ч</t>
  </si>
  <si>
    <t>25 мин</t>
  </si>
  <si>
    <t>2026-03</t>
  </si>
  <si>
    <t>10.5 ч</t>
  </si>
  <si>
    <t>2026-04</t>
  </si>
  <si>
    <t>2026-05</t>
  </si>
  <si>
    <t>16 ч</t>
  </si>
  <si>
    <t>14 ч</t>
  </si>
  <si>
    <t>3 ч</t>
  </si>
  <si>
    <t>2026-06</t>
  </si>
  <si>
    <t>2026-07</t>
  </si>
  <si>
    <t>Месяцев</t>
  </si>
  <si>
    <t>В плюсе</t>
  </si>
  <si>
    <t>Деньги, $</t>
  </si>
  <si>
    <t>Пипсы</t>
  </si>
  <si>
    <t>% прямых</t>
  </si>
  <si>
    <t>% зеркальных</t>
  </si>
  <si>
    <t>% фейлов</t>
  </si>
  <si>
    <t>Всего</t>
  </si>
  <si>
    <t>Случайное блуждание для этих барьеров: прямые SL/(SL+TP), зеркальные столько же, фейлы остаток; для SL 10 / TP 30 это 25% / 25% / 50%. Спред 0.7 пипса уже вычтен из каждой сделки. Источник: eurusd-reversal-walk.csv, Fx.MaCross --reversal --walk-forward 2025-01 --walk-months 12.</t>
  </si>
  <si>
    <t>Деньги топ-10, $</t>
  </si>
  <si>
    <t>Деньги ранга 1, $</t>
  </si>
  <si>
    <t>Выборов в плюсе (из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</si>
</sst>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#,##0.0;[Red]\(#,##0.0\)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6" customWidth="1"/>
    <col min="3" max="9" width="8" customWidth="1"/>
    <col min="10" max="10" width="7" customWidth="1"/>
    <col min="11" max="11" width="13" customWidth="1"/>
    <col min="12" max="13" width="15" customWidth="1"/>
    <col min="14" max="14" width="12" customWidth="1"/>
    <col min="15" max="16" width="8" customWidth="1"/>
    <col min="17" max="17" width="11" customWidth="1"/>
    <col min="18" max="18" width="7" customWidth="1"/>
    <col min="19" max="19" width="11" customWidth="1"/>
    <col min="20" max="20" width="12" customWidth="1"/>
    <col min="21" max="21" width="9" customWidth="1"/>
  </cols>
  <sheetData>
    <row r="1" spans="1:2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>
        <v>1</v>
      </c>
      <c r="C2" s="2" t="s">
        <v>22</v>
      </c>
      <c r="D2" s="2" t="s">
        <v>23</v>
      </c>
      <c r="E2" s="2">
        <v>150</v>
      </c>
      <c r="F2" s="2">
        <v>660</v>
      </c>
      <c r="G2" s="2">
        <v>15</v>
      </c>
      <c r="H2" s="2">
        <v>10</v>
      </c>
      <c r="I2" s="2">
        <v>30</v>
      </c>
      <c r="J2" s="3">
        <v>5.0000000000000001E-3</v>
      </c>
      <c r="K2" s="4">
        <v>45439</v>
      </c>
      <c r="L2" s="4">
        <v>7530</v>
      </c>
      <c r="M2" s="4">
        <v>-6245</v>
      </c>
      <c r="N2" s="5">
        <v>-126.6</v>
      </c>
      <c r="O2" s="2">
        <v>38</v>
      </c>
      <c r="P2" s="2">
        <v>7</v>
      </c>
      <c r="Q2" s="2">
        <v>9</v>
      </c>
      <c r="R2" s="2">
        <v>22</v>
      </c>
      <c r="S2" s="6">
        <v>0.184</v>
      </c>
      <c r="T2" s="6">
        <v>0.26800000000000002</v>
      </c>
      <c r="U2" s="6">
        <f t="shared" ref="U2:U33" si="0">S2-T2</f>
        <v>-8.4000000000000019E-2</v>
      </c>
    </row>
    <row r="3" spans="1:21" x14ac:dyDescent="0.3">
      <c r="A3" s="2" t="s">
        <v>21</v>
      </c>
      <c r="B3" s="2">
        <v>2</v>
      </c>
      <c r="C3" s="2" t="s">
        <v>24</v>
      </c>
      <c r="D3" s="2" t="s">
        <v>25</v>
      </c>
      <c r="E3" s="2">
        <v>900</v>
      </c>
      <c r="F3" s="2">
        <v>930</v>
      </c>
      <c r="G3" s="2">
        <v>10</v>
      </c>
      <c r="H3" s="2">
        <v>20</v>
      </c>
      <c r="I3" s="2">
        <v>60</v>
      </c>
      <c r="J3" s="3">
        <v>5.0000000000000001E-3</v>
      </c>
      <c r="K3" s="4">
        <v>40863</v>
      </c>
      <c r="L3" s="4">
        <v>5157</v>
      </c>
      <c r="M3" s="4">
        <v>-6839</v>
      </c>
      <c r="N3" s="5">
        <v>-280.3</v>
      </c>
      <c r="O3" s="2">
        <v>29</v>
      </c>
      <c r="P3" s="2">
        <v>4</v>
      </c>
      <c r="Q3" s="2">
        <v>12</v>
      </c>
      <c r="R3" s="2">
        <v>13</v>
      </c>
      <c r="S3" s="6">
        <v>0.13800000000000001</v>
      </c>
      <c r="T3" s="6">
        <v>0.25900000000000001</v>
      </c>
      <c r="U3" s="6">
        <f t="shared" si="0"/>
        <v>-0.121</v>
      </c>
    </row>
    <row r="4" spans="1:21" x14ac:dyDescent="0.3">
      <c r="A4" s="2" t="s">
        <v>21</v>
      </c>
      <c r="B4" s="2">
        <v>3</v>
      </c>
      <c r="C4" s="2" t="s">
        <v>26</v>
      </c>
      <c r="D4" s="2" t="s">
        <v>27</v>
      </c>
      <c r="E4" s="2">
        <v>1530</v>
      </c>
      <c r="F4" s="2">
        <v>1770</v>
      </c>
      <c r="G4" s="2">
        <v>10</v>
      </c>
      <c r="H4" s="2">
        <v>15</v>
      </c>
      <c r="I4" s="2">
        <v>40</v>
      </c>
      <c r="J4" s="3">
        <v>5.0000000000000001E-3</v>
      </c>
      <c r="K4" s="4">
        <v>39607</v>
      </c>
      <c r="L4" s="4">
        <v>5301</v>
      </c>
      <c r="M4" s="4">
        <v>-3646</v>
      </c>
      <c r="N4" s="5">
        <v>-109.7</v>
      </c>
      <c r="O4" s="2">
        <v>21</v>
      </c>
      <c r="P4" s="2">
        <v>4</v>
      </c>
      <c r="Q4" s="2">
        <v>8</v>
      </c>
      <c r="R4" s="2">
        <v>9</v>
      </c>
      <c r="S4" s="6">
        <v>0.19</v>
      </c>
      <c r="T4" s="6">
        <v>0.28499999999999998</v>
      </c>
      <c r="U4" s="6">
        <f t="shared" si="0"/>
        <v>-9.4999999999999973E-2</v>
      </c>
    </row>
    <row r="5" spans="1:21" x14ac:dyDescent="0.3">
      <c r="A5" s="2" t="s">
        <v>21</v>
      </c>
      <c r="B5" s="2">
        <v>4</v>
      </c>
      <c r="C5" s="2" t="s">
        <v>28</v>
      </c>
      <c r="D5" s="2" t="s">
        <v>29</v>
      </c>
      <c r="E5" s="2">
        <v>1590</v>
      </c>
      <c r="F5" s="2">
        <v>1680</v>
      </c>
      <c r="G5" s="2">
        <v>10</v>
      </c>
      <c r="H5" s="2">
        <v>20</v>
      </c>
      <c r="I5" s="2">
        <v>50</v>
      </c>
      <c r="J5" s="3">
        <v>5.0000000000000001E-3</v>
      </c>
      <c r="K5" s="4">
        <v>39316</v>
      </c>
      <c r="L5" s="4">
        <v>4523</v>
      </c>
      <c r="M5" s="4">
        <v>274</v>
      </c>
      <c r="N5" s="5">
        <v>13.9</v>
      </c>
      <c r="O5" s="2">
        <v>23</v>
      </c>
      <c r="P5" s="2">
        <v>7</v>
      </c>
      <c r="Q5" s="2">
        <v>8</v>
      </c>
      <c r="R5" s="2">
        <v>8</v>
      </c>
      <c r="S5" s="6">
        <v>0.30399999999999999</v>
      </c>
      <c r="T5" s="6">
        <v>0.29599999999999999</v>
      </c>
      <c r="U5" s="6">
        <f t="shared" si="0"/>
        <v>8.0000000000000071E-3</v>
      </c>
    </row>
    <row r="6" spans="1:21" x14ac:dyDescent="0.3">
      <c r="A6" s="2" t="s">
        <v>21</v>
      </c>
      <c r="B6" s="2">
        <v>5</v>
      </c>
      <c r="C6" s="2" t="s">
        <v>30</v>
      </c>
      <c r="D6" s="2" t="s">
        <v>31</v>
      </c>
      <c r="E6" s="2">
        <v>330</v>
      </c>
      <c r="F6" s="2">
        <v>1290</v>
      </c>
      <c r="G6" s="2">
        <v>10</v>
      </c>
      <c r="H6" s="2">
        <v>10</v>
      </c>
      <c r="I6" s="2">
        <v>30</v>
      </c>
      <c r="J6" s="3">
        <v>5.0000000000000001E-3</v>
      </c>
      <c r="K6" s="4">
        <v>39146</v>
      </c>
      <c r="L6" s="4">
        <v>1453</v>
      </c>
      <c r="M6" s="4">
        <v>-3915</v>
      </c>
      <c r="N6" s="5">
        <v>-78.2</v>
      </c>
      <c r="O6" s="2">
        <v>26</v>
      </c>
      <c r="P6" s="2">
        <v>5</v>
      </c>
      <c r="Q6" s="2">
        <v>5</v>
      </c>
      <c r="R6" s="2">
        <v>16</v>
      </c>
      <c r="S6" s="6">
        <v>0.192</v>
      </c>
      <c r="T6" s="6">
        <v>0.26800000000000002</v>
      </c>
      <c r="U6" s="6">
        <f t="shared" si="0"/>
        <v>-7.6000000000000012E-2</v>
      </c>
    </row>
    <row r="7" spans="1:21" x14ac:dyDescent="0.3">
      <c r="A7" s="2" t="s">
        <v>21</v>
      </c>
      <c r="B7" s="2">
        <v>6</v>
      </c>
      <c r="C7" s="2" t="s">
        <v>32</v>
      </c>
      <c r="D7" s="2" t="s">
        <v>33</v>
      </c>
      <c r="E7" s="2">
        <v>1110</v>
      </c>
      <c r="F7" s="2">
        <v>2610</v>
      </c>
      <c r="G7" s="2">
        <v>10</v>
      </c>
      <c r="H7" s="2">
        <v>15</v>
      </c>
      <c r="I7" s="2">
        <v>40</v>
      </c>
      <c r="J7" s="3">
        <v>5.0000000000000001E-3</v>
      </c>
      <c r="K7" s="4">
        <v>39105</v>
      </c>
      <c r="L7" s="4">
        <v>6702</v>
      </c>
      <c r="M7" s="4">
        <v>232</v>
      </c>
      <c r="N7" s="5">
        <v>8</v>
      </c>
      <c r="O7" s="2">
        <v>10</v>
      </c>
      <c r="P7" s="2">
        <v>3</v>
      </c>
      <c r="Q7" s="2">
        <v>3</v>
      </c>
      <c r="R7" s="2">
        <v>4</v>
      </c>
      <c r="S7" s="6">
        <v>0.3</v>
      </c>
      <c r="T7" s="6">
        <v>0.28499999999999998</v>
      </c>
      <c r="U7" s="6">
        <f t="shared" si="0"/>
        <v>1.5000000000000013E-2</v>
      </c>
    </row>
    <row r="8" spans="1:21" x14ac:dyDescent="0.3">
      <c r="A8" s="2" t="s">
        <v>21</v>
      </c>
      <c r="B8" s="2">
        <v>7</v>
      </c>
      <c r="C8" s="2" t="s">
        <v>34</v>
      </c>
      <c r="D8" s="2" t="s">
        <v>35</v>
      </c>
      <c r="E8" s="2">
        <v>870</v>
      </c>
      <c r="F8" s="2">
        <v>2370</v>
      </c>
      <c r="G8" s="2">
        <v>35</v>
      </c>
      <c r="H8" s="2">
        <v>10</v>
      </c>
      <c r="I8" s="2">
        <v>30</v>
      </c>
      <c r="J8" s="3">
        <v>5.0000000000000001E-3</v>
      </c>
      <c r="K8" s="4">
        <v>38284</v>
      </c>
      <c r="L8" s="4">
        <v>6802</v>
      </c>
      <c r="M8" s="4">
        <v>1151</v>
      </c>
      <c r="N8" s="5">
        <v>23.7</v>
      </c>
      <c r="O8" s="2">
        <v>9</v>
      </c>
      <c r="P8" s="2">
        <v>3</v>
      </c>
      <c r="Q8" s="2">
        <v>3</v>
      </c>
      <c r="R8" s="2">
        <v>3</v>
      </c>
      <c r="S8" s="6">
        <v>0.33300000000000002</v>
      </c>
      <c r="T8" s="6">
        <v>0.26800000000000002</v>
      </c>
      <c r="U8" s="6">
        <f t="shared" si="0"/>
        <v>6.5000000000000002E-2</v>
      </c>
    </row>
    <row r="9" spans="1:21" x14ac:dyDescent="0.3">
      <c r="A9" s="2" t="s">
        <v>21</v>
      </c>
      <c r="B9" s="2">
        <v>8</v>
      </c>
      <c r="C9" s="2" t="s">
        <v>36</v>
      </c>
      <c r="D9" s="2" t="s">
        <v>37</v>
      </c>
      <c r="E9" s="2">
        <v>450</v>
      </c>
      <c r="F9" s="2">
        <v>480</v>
      </c>
      <c r="G9" s="2">
        <v>10</v>
      </c>
      <c r="H9" s="2">
        <v>15</v>
      </c>
      <c r="I9" s="2">
        <v>40</v>
      </c>
      <c r="J9" s="3">
        <v>5.0000000000000001E-3</v>
      </c>
      <c r="K9" s="4">
        <v>37725</v>
      </c>
      <c r="L9" s="4">
        <v>7739</v>
      </c>
      <c r="M9" s="4">
        <v>-6671</v>
      </c>
      <c r="N9" s="5">
        <v>-203.7</v>
      </c>
      <c r="O9" s="2">
        <v>41</v>
      </c>
      <c r="P9" s="2">
        <v>8</v>
      </c>
      <c r="Q9" s="2">
        <v>14</v>
      </c>
      <c r="R9" s="2">
        <v>19</v>
      </c>
      <c r="S9" s="6">
        <v>0.19500000000000001</v>
      </c>
      <c r="T9" s="6">
        <v>0.28499999999999998</v>
      </c>
      <c r="U9" s="6">
        <f t="shared" si="0"/>
        <v>-8.9999999999999969E-2</v>
      </c>
    </row>
    <row r="10" spans="1:21" x14ac:dyDescent="0.3">
      <c r="A10" s="2" t="s">
        <v>21</v>
      </c>
      <c r="B10" s="2">
        <v>9</v>
      </c>
      <c r="C10" s="2" t="s">
        <v>38</v>
      </c>
      <c r="D10" s="2" t="s">
        <v>39</v>
      </c>
      <c r="E10" s="2">
        <v>1</v>
      </c>
      <c r="F10" s="2">
        <v>2100</v>
      </c>
      <c r="G10" s="2">
        <v>15</v>
      </c>
      <c r="H10" s="2">
        <v>15</v>
      </c>
      <c r="I10" s="2">
        <v>40</v>
      </c>
      <c r="J10" s="3">
        <v>5.0000000000000001E-3</v>
      </c>
      <c r="K10" s="4">
        <v>37109</v>
      </c>
      <c r="L10" s="4">
        <v>-1354</v>
      </c>
      <c r="M10" s="4">
        <v>-1870</v>
      </c>
      <c r="N10" s="5">
        <v>-54.7</v>
      </c>
      <c r="O10" s="2">
        <v>21</v>
      </c>
      <c r="P10" s="2">
        <v>5</v>
      </c>
      <c r="Q10" s="2">
        <v>7</v>
      </c>
      <c r="R10" s="2">
        <v>9</v>
      </c>
      <c r="S10" s="6">
        <v>0.23799999999999999</v>
      </c>
      <c r="T10" s="6">
        <v>0.28499999999999998</v>
      </c>
      <c r="U10" s="6">
        <f t="shared" si="0"/>
        <v>-4.6999999999999986E-2</v>
      </c>
    </row>
    <row r="11" spans="1:21" x14ac:dyDescent="0.3">
      <c r="A11" s="2" t="s">
        <v>21</v>
      </c>
      <c r="B11" s="2">
        <v>10</v>
      </c>
      <c r="C11" s="2" t="s">
        <v>40</v>
      </c>
      <c r="D11" s="2" t="s">
        <v>41</v>
      </c>
      <c r="E11" s="2">
        <v>360</v>
      </c>
      <c r="F11" s="2">
        <v>1740</v>
      </c>
      <c r="G11" s="2">
        <v>30</v>
      </c>
      <c r="H11" s="2">
        <v>20</v>
      </c>
      <c r="I11" s="2">
        <v>60</v>
      </c>
      <c r="J11" s="3">
        <v>5.0000000000000001E-3</v>
      </c>
      <c r="K11" s="4">
        <v>36610</v>
      </c>
      <c r="L11" s="4">
        <v>4336</v>
      </c>
      <c r="M11" s="4">
        <v>2193</v>
      </c>
      <c r="N11" s="5">
        <v>89.5</v>
      </c>
      <c r="O11" s="2">
        <v>15</v>
      </c>
      <c r="P11" s="2">
        <v>5</v>
      </c>
      <c r="Q11" s="2">
        <v>6</v>
      </c>
      <c r="R11" s="2">
        <v>4</v>
      </c>
      <c r="S11" s="6">
        <v>0.33300000000000002</v>
      </c>
      <c r="T11" s="6">
        <v>0.25900000000000001</v>
      </c>
      <c r="U11" s="6">
        <f t="shared" si="0"/>
        <v>7.400000000000001E-2</v>
      </c>
    </row>
    <row r="12" spans="1:21" x14ac:dyDescent="0.3">
      <c r="A12" s="2" t="s">
        <v>42</v>
      </c>
      <c r="B12" s="2">
        <v>1</v>
      </c>
      <c r="C12" s="2" t="s">
        <v>43</v>
      </c>
      <c r="D12" s="2" t="s">
        <v>25</v>
      </c>
      <c r="E12" s="2">
        <v>240</v>
      </c>
      <c r="F12" s="2">
        <v>930</v>
      </c>
      <c r="G12" s="2">
        <v>20</v>
      </c>
      <c r="H12" s="2">
        <v>10</v>
      </c>
      <c r="I12" s="2">
        <v>30</v>
      </c>
      <c r="J12" s="3">
        <v>5.0000000000000001E-3</v>
      </c>
      <c r="K12" s="4">
        <v>39163</v>
      </c>
      <c r="L12" s="4">
        <v>371</v>
      </c>
      <c r="M12" s="4">
        <v>1610</v>
      </c>
      <c r="N12" s="5">
        <v>33.9</v>
      </c>
      <c r="O12" s="2">
        <v>23</v>
      </c>
      <c r="P12" s="2">
        <v>7</v>
      </c>
      <c r="Q12" s="2">
        <v>6</v>
      </c>
      <c r="R12" s="2">
        <v>10</v>
      </c>
      <c r="S12" s="6">
        <v>0.30399999999999999</v>
      </c>
      <c r="T12" s="6">
        <v>0.26800000000000002</v>
      </c>
      <c r="U12" s="6">
        <f t="shared" si="0"/>
        <v>3.5999999999999976E-2</v>
      </c>
    </row>
    <row r="13" spans="1:21" x14ac:dyDescent="0.3">
      <c r="A13" s="2" t="s">
        <v>42</v>
      </c>
      <c r="B13" s="2">
        <v>2</v>
      </c>
      <c r="C13" s="2" t="s">
        <v>44</v>
      </c>
      <c r="D13" s="2" t="s">
        <v>45</v>
      </c>
      <c r="E13" s="2">
        <v>270</v>
      </c>
      <c r="F13" s="2">
        <v>1230</v>
      </c>
      <c r="G13" s="2">
        <v>10</v>
      </c>
      <c r="H13" s="2">
        <v>10</v>
      </c>
      <c r="I13" s="2">
        <v>30</v>
      </c>
      <c r="J13" s="3">
        <v>5.0000000000000001E-3</v>
      </c>
      <c r="K13" s="4">
        <v>38188</v>
      </c>
      <c r="L13" s="4">
        <v>910</v>
      </c>
      <c r="M13" s="4">
        <v>-1303</v>
      </c>
      <c r="N13" s="5">
        <v>-24.7</v>
      </c>
      <c r="O13" s="2">
        <v>21</v>
      </c>
      <c r="P13" s="2">
        <v>5</v>
      </c>
      <c r="Q13" s="2">
        <v>8</v>
      </c>
      <c r="R13" s="2">
        <v>8</v>
      </c>
      <c r="S13" s="6">
        <v>0.23799999999999999</v>
      </c>
      <c r="T13" s="6">
        <v>0.26800000000000002</v>
      </c>
      <c r="U13" s="6">
        <f t="shared" si="0"/>
        <v>-3.0000000000000027E-2</v>
      </c>
    </row>
    <row r="14" spans="1:21" x14ac:dyDescent="0.3">
      <c r="A14" s="2" t="s">
        <v>42</v>
      </c>
      <c r="B14" s="2">
        <v>3</v>
      </c>
      <c r="C14" s="2" t="s">
        <v>46</v>
      </c>
      <c r="D14" s="2" t="s">
        <v>47</v>
      </c>
      <c r="E14" s="2">
        <v>90</v>
      </c>
      <c r="F14" s="2">
        <v>1020</v>
      </c>
      <c r="G14" s="2">
        <v>10</v>
      </c>
      <c r="H14" s="2">
        <v>20</v>
      </c>
      <c r="I14" s="2">
        <v>50</v>
      </c>
      <c r="J14" s="3">
        <v>5.0000000000000001E-3</v>
      </c>
      <c r="K14" s="4">
        <v>38055</v>
      </c>
      <c r="L14" s="4">
        <v>4027</v>
      </c>
      <c r="M14" s="4">
        <v>86</v>
      </c>
      <c r="N14" s="5">
        <v>6</v>
      </c>
      <c r="O14" s="2">
        <v>20</v>
      </c>
      <c r="P14" s="2">
        <v>6</v>
      </c>
      <c r="Q14" s="2">
        <v>8</v>
      </c>
      <c r="R14" s="2">
        <v>6</v>
      </c>
      <c r="S14" s="6">
        <v>0.3</v>
      </c>
      <c r="T14" s="6">
        <v>0.29599999999999999</v>
      </c>
      <c r="U14" s="6">
        <f t="shared" si="0"/>
        <v>4.0000000000000036E-3</v>
      </c>
    </row>
    <row r="15" spans="1:21" x14ac:dyDescent="0.3">
      <c r="A15" s="2" t="s">
        <v>42</v>
      </c>
      <c r="B15" s="2">
        <v>4</v>
      </c>
      <c r="C15" s="2" t="s">
        <v>48</v>
      </c>
      <c r="D15" s="2" t="s">
        <v>49</v>
      </c>
      <c r="E15" s="2">
        <v>2730</v>
      </c>
      <c r="F15" s="2">
        <v>3120</v>
      </c>
      <c r="G15" s="2">
        <v>10</v>
      </c>
      <c r="H15" s="2">
        <v>10</v>
      </c>
      <c r="I15" s="2">
        <v>30</v>
      </c>
      <c r="J15" s="3">
        <v>5.0000000000000001E-3</v>
      </c>
      <c r="K15" s="4">
        <v>37414</v>
      </c>
      <c r="L15" s="4">
        <v>5097</v>
      </c>
      <c r="M15" s="4">
        <v>-3317</v>
      </c>
      <c r="N15" s="5">
        <v>-67</v>
      </c>
      <c r="O15" s="2">
        <v>10</v>
      </c>
      <c r="P15" s="2">
        <v>1</v>
      </c>
      <c r="Q15" s="2">
        <v>4</v>
      </c>
      <c r="R15" s="2">
        <v>5</v>
      </c>
      <c r="S15" s="6">
        <v>0.1</v>
      </c>
      <c r="T15" s="6">
        <v>0.26800000000000002</v>
      </c>
      <c r="U15" s="6">
        <f t="shared" si="0"/>
        <v>-0.16800000000000001</v>
      </c>
    </row>
    <row r="16" spans="1:21" x14ac:dyDescent="0.3">
      <c r="A16" s="2" t="s">
        <v>42</v>
      </c>
      <c r="B16" s="2">
        <v>5</v>
      </c>
      <c r="C16" s="2" t="s">
        <v>22</v>
      </c>
      <c r="D16" s="2" t="s">
        <v>50</v>
      </c>
      <c r="E16" s="2">
        <v>150</v>
      </c>
      <c r="F16" s="2">
        <v>810</v>
      </c>
      <c r="G16" s="2">
        <v>10</v>
      </c>
      <c r="H16" s="2">
        <v>10</v>
      </c>
      <c r="I16" s="2">
        <v>30</v>
      </c>
      <c r="J16" s="3">
        <v>5.0000000000000001E-3</v>
      </c>
      <c r="K16" s="4">
        <v>37203</v>
      </c>
      <c r="L16" s="4">
        <v>5085</v>
      </c>
      <c r="M16" s="4">
        <v>-2134</v>
      </c>
      <c r="N16" s="5">
        <v>-41</v>
      </c>
      <c r="O16" s="2">
        <v>30</v>
      </c>
      <c r="P16" s="2">
        <v>7</v>
      </c>
      <c r="Q16" s="2">
        <v>10</v>
      </c>
      <c r="R16" s="2">
        <v>13</v>
      </c>
      <c r="S16" s="6">
        <v>0.23300000000000001</v>
      </c>
      <c r="T16" s="6">
        <v>0.26800000000000002</v>
      </c>
      <c r="U16" s="6">
        <f t="shared" si="0"/>
        <v>-3.5000000000000003E-2</v>
      </c>
    </row>
    <row r="17" spans="1:21" x14ac:dyDescent="0.3">
      <c r="A17" s="2" t="s">
        <v>42</v>
      </c>
      <c r="B17" s="2">
        <v>6</v>
      </c>
      <c r="C17" s="2" t="s">
        <v>51</v>
      </c>
      <c r="D17" s="2" t="s">
        <v>52</v>
      </c>
      <c r="E17" s="2">
        <v>300</v>
      </c>
      <c r="F17" s="2">
        <v>1380</v>
      </c>
      <c r="G17" s="2">
        <v>10</v>
      </c>
      <c r="H17" s="2">
        <v>15</v>
      </c>
      <c r="I17" s="2">
        <v>40</v>
      </c>
      <c r="J17" s="3">
        <v>5.0000000000000001E-3</v>
      </c>
      <c r="K17" s="4">
        <v>36623</v>
      </c>
      <c r="L17" s="4">
        <v>5566</v>
      </c>
      <c r="M17" s="4">
        <v>-313</v>
      </c>
      <c r="N17" s="5">
        <v>-7.6</v>
      </c>
      <c r="O17" s="2">
        <v>18</v>
      </c>
      <c r="P17" s="2">
        <v>5</v>
      </c>
      <c r="Q17" s="2">
        <v>4</v>
      </c>
      <c r="R17" s="2">
        <v>9</v>
      </c>
      <c r="S17" s="6">
        <v>0.27800000000000002</v>
      </c>
      <c r="T17" s="6">
        <v>0.28499999999999998</v>
      </c>
      <c r="U17" s="6">
        <f t="shared" si="0"/>
        <v>-6.9999999999999507E-3</v>
      </c>
    </row>
    <row r="18" spans="1:21" x14ac:dyDescent="0.3">
      <c r="A18" s="2" t="s">
        <v>42</v>
      </c>
      <c r="B18" s="2">
        <v>7</v>
      </c>
      <c r="C18" s="2" t="s">
        <v>24</v>
      </c>
      <c r="D18" s="2" t="s">
        <v>25</v>
      </c>
      <c r="E18" s="2">
        <v>900</v>
      </c>
      <c r="F18" s="2">
        <v>930</v>
      </c>
      <c r="G18" s="2">
        <v>10</v>
      </c>
      <c r="H18" s="2">
        <v>20</v>
      </c>
      <c r="I18" s="2">
        <v>60</v>
      </c>
      <c r="J18" s="3">
        <v>5.0000000000000001E-3</v>
      </c>
      <c r="K18" s="4">
        <v>35839</v>
      </c>
      <c r="L18" s="4">
        <v>-6839</v>
      </c>
      <c r="M18" s="4">
        <v>-6681</v>
      </c>
      <c r="N18" s="5">
        <v>-274.7</v>
      </c>
      <c r="O18" s="2">
        <v>21</v>
      </c>
      <c r="P18" s="2">
        <v>2</v>
      </c>
      <c r="Q18" s="2">
        <v>5</v>
      </c>
      <c r="R18" s="2">
        <v>14</v>
      </c>
      <c r="S18" s="6">
        <v>9.5000000000000001E-2</v>
      </c>
      <c r="T18" s="6">
        <v>0.25900000000000001</v>
      </c>
      <c r="U18" s="6">
        <f t="shared" si="0"/>
        <v>-0.16400000000000001</v>
      </c>
    </row>
    <row r="19" spans="1:21" x14ac:dyDescent="0.3">
      <c r="A19" s="2" t="s">
        <v>42</v>
      </c>
      <c r="B19" s="2">
        <v>8</v>
      </c>
      <c r="C19" s="2" t="s">
        <v>51</v>
      </c>
      <c r="D19" s="2" t="s">
        <v>53</v>
      </c>
      <c r="E19" s="2">
        <v>300</v>
      </c>
      <c r="F19" s="2">
        <v>720</v>
      </c>
      <c r="G19" s="2">
        <v>15</v>
      </c>
      <c r="H19" s="2">
        <v>20</v>
      </c>
      <c r="I19" s="2">
        <v>60</v>
      </c>
      <c r="J19" s="3">
        <v>5.0000000000000001E-3</v>
      </c>
      <c r="K19" s="4">
        <v>35826</v>
      </c>
      <c r="L19" s="4">
        <v>6253</v>
      </c>
      <c r="M19" s="4">
        <v>1578</v>
      </c>
      <c r="N19" s="5">
        <v>66</v>
      </c>
      <c r="O19" s="2">
        <v>20</v>
      </c>
      <c r="P19" s="2">
        <v>6</v>
      </c>
      <c r="Q19" s="2">
        <v>4</v>
      </c>
      <c r="R19" s="2">
        <v>10</v>
      </c>
      <c r="S19" s="6">
        <v>0.3</v>
      </c>
      <c r="T19" s="6">
        <v>0.25900000000000001</v>
      </c>
      <c r="U19" s="6">
        <f t="shared" si="0"/>
        <v>4.0999999999999981E-2</v>
      </c>
    </row>
    <row r="20" spans="1:21" x14ac:dyDescent="0.3">
      <c r="A20" s="2" t="s">
        <v>42</v>
      </c>
      <c r="B20" s="2">
        <v>9</v>
      </c>
      <c r="C20" s="2" t="s">
        <v>54</v>
      </c>
      <c r="D20" s="2" t="s">
        <v>47</v>
      </c>
      <c r="E20" s="2">
        <v>390</v>
      </c>
      <c r="F20" s="2">
        <v>1020</v>
      </c>
      <c r="G20" s="2">
        <v>30</v>
      </c>
      <c r="H20" s="2">
        <v>20</v>
      </c>
      <c r="I20" s="2">
        <v>60</v>
      </c>
      <c r="J20" s="3">
        <v>5.0000000000000001E-3</v>
      </c>
      <c r="K20" s="4">
        <v>35801</v>
      </c>
      <c r="L20" s="4">
        <v>2107</v>
      </c>
      <c r="M20" s="4">
        <v>-3730</v>
      </c>
      <c r="N20" s="5">
        <v>-150.5</v>
      </c>
      <c r="O20" s="2">
        <v>15</v>
      </c>
      <c r="P20" s="2">
        <v>2</v>
      </c>
      <c r="Q20" s="2">
        <v>6</v>
      </c>
      <c r="R20" s="2">
        <v>7</v>
      </c>
      <c r="S20" s="6">
        <v>0.13300000000000001</v>
      </c>
      <c r="T20" s="6">
        <v>0.25900000000000001</v>
      </c>
      <c r="U20" s="6">
        <f t="shared" si="0"/>
        <v>-0.126</v>
      </c>
    </row>
    <row r="21" spans="1:21" x14ac:dyDescent="0.3">
      <c r="A21" s="2" t="s">
        <v>42</v>
      </c>
      <c r="B21" s="2">
        <v>10</v>
      </c>
      <c r="C21" s="2" t="s">
        <v>54</v>
      </c>
      <c r="D21" s="2" t="s">
        <v>55</v>
      </c>
      <c r="E21" s="2">
        <v>390</v>
      </c>
      <c r="F21" s="2">
        <v>1050</v>
      </c>
      <c r="G21" s="2">
        <v>30</v>
      </c>
      <c r="H21" s="2">
        <v>20</v>
      </c>
      <c r="I21" s="2">
        <v>60</v>
      </c>
      <c r="J21" s="3">
        <v>5.0000000000000001E-3</v>
      </c>
      <c r="K21" s="4">
        <v>35213</v>
      </c>
      <c r="L21" s="4">
        <v>5246</v>
      </c>
      <c r="M21" s="4">
        <v>-3230</v>
      </c>
      <c r="N21" s="5">
        <v>-129.80000000000001</v>
      </c>
      <c r="O21" s="2">
        <v>14</v>
      </c>
      <c r="P21" s="2">
        <v>2</v>
      </c>
      <c r="Q21" s="2">
        <v>4</v>
      </c>
      <c r="R21" s="2">
        <v>8</v>
      </c>
      <c r="S21" s="6">
        <v>0.14299999999999999</v>
      </c>
      <c r="T21" s="6">
        <v>0.25900000000000001</v>
      </c>
      <c r="U21" s="6">
        <f t="shared" si="0"/>
        <v>-0.11600000000000002</v>
      </c>
    </row>
    <row r="22" spans="1:21" x14ac:dyDescent="0.3">
      <c r="A22" s="2" t="s">
        <v>56</v>
      </c>
      <c r="B22" s="2">
        <v>1</v>
      </c>
      <c r="C22" s="2" t="s">
        <v>46</v>
      </c>
      <c r="D22" s="2" t="s">
        <v>47</v>
      </c>
      <c r="E22" s="2">
        <v>90</v>
      </c>
      <c r="F22" s="2">
        <v>1020</v>
      </c>
      <c r="G22" s="2">
        <v>10</v>
      </c>
      <c r="H22" s="2">
        <v>20</v>
      </c>
      <c r="I22" s="2">
        <v>50</v>
      </c>
      <c r="J22" s="3">
        <v>5.0000000000000001E-3</v>
      </c>
      <c r="K22" s="4">
        <v>35727</v>
      </c>
      <c r="L22" s="4">
        <v>86</v>
      </c>
      <c r="M22" s="4">
        <v>-6307</v>
      </c>
      <c r="N22" s="5">
        <v>-258.2</v>
      </c>
      <c r="O22" s="2">
        <v>26</v>
      </c>
      <c r="P22" s="2">
        <v>4</v>
      </c>
      <c r="Q22" s="2">
        <v>7</v>
      </c>
      <c r="R22" s="2">
        <v>15</v>
      </c>
      <c r="S22" s="6">
        <v>0.154</v>
      </c>
      <c r="T22" s="6">
        <v>0.29599999999999999</v>
      </c>
      <c r="U22" s="6">
        <f t="shared" si="0"/>
        <v>-0.14199999999999999</v>
      </c>
    </row>
    <row r="23" spans="1:21" x14ac:dyDescent="0.3">
      <c r="A23" s="2" t="s">
        <v>56</v>
      </c>
      <c r="B23" s="2">
        <v>2</v>
      </c>
      <c r="C23" s="2" t="s">
        <v>22</v>
      </c>
      <c r="D23" s="2" t="s">
        <v>23</v>
      </c>
      <c r="E23" s="2">
        <v>150</v>
      </c>
      <c r="F23" s="2">
        <v>660</v>
      </c>
      <c r="G23" s="2">
        <v>15</v>
      </c>
      <c r="H23" s="2">
        <v>10</v>
      </c>
      <c r="I23" s="2">
        <v>30</v>
      </c>
      <c r="J23" s="3">
        <v>5.0000000000000001E-3</v>
      </c>
      <c r="K23" s="4">
        <v>35432</v>
      </c>
      <c r="L23" s="4">
        <v>2389</v>
      </c>
      <c r="M23" s="4">
        <v>598</v>
      </c>
      <c r="N23" s="5">
        <v>14.8</v>
      </c>
      <c r="O23" s="2">
        <v>36</v>
      </c>
      <c r="P23" s="2">
        <v>10</v>
      </c>
      <c r="Q23" s="2">
        <v>9</v>
      </c>
      <c r="R23" s="2">
        <v>17</v>
      </c>
      <c r="S23" s="6">
        <v>0.27800000000000002</v>
      </c>
      <c r="T23" s="6">
        <v>0.26800000000000002</v>
      </c>
      <c r="U23" s="6">
        <f t="shared" si="0"/>
        <v>1.0000000000000009E-2</v>
      </c>
    </row>
    <row r="24" spans="1:21" x14ac:dyDescent="0.3">
      <c r="A24" s="2" t="s">
        <v>56</v>
      </c>
      <c r="B24" s="2">
        <v>3</v>
      </c>
      <c r="C24" s="2" t="s">
        <v>54</v>
      </c>
      <c r="D24" s="2" t="s">
        <v>57</v>
      </c>
      <c r="E24" s="2">
        <v>390</v>
      </c>
      <c r="F24" s="2">
        <v>420</v>
      </c>
      <c r="G24" s="2">
        <v>10</v>
      </c>
      <c r="H24" s="2">
        <v>15</v>
      </c>
      <c r="I24" s="2">
        <v>40</v>
      </c>
      <c r="J24" s="3">
        <v>5.0000000000000001E-3</v>
      </c>
      <c r="K24" s="4">
        <v>34753</v>
      </c>
      <c r="L24" s="4">
        <v>10603</v>
      </c>
      <c r="M24" s="4">
        <v>2791</v>
      </c>
      <c r="N24" s="5">
        <v>87</v>
      </c>
      <c r="O24" s="2">
        <v>40</v>
      </c>
      <c r="P24" s="2">
        <v>13</v>
      </c>
      <c r="Q24" s="2">
        <v>10</v>
      </c>
      <c r="R24" s="2">
        <v>17</v>
      </c>
      <c r="S24" s="6">
        <v>0.32500000000000001</v>
      </c>
      <c r="T24" s="6">
        <v>0.28499999999999998</v>
      </c>
      <c r="U24" s="6">
        <f t="shared" si="0"/>
        <v>4.0000000000000036E-2</v>
      </c>
    </row>
    <row r="25" spans="1:21" x14ac:dyDescent="0.3">
      <c r="A25" s="2" t="s">
        <v>56</v>
      </c>
      <c r="B25" s="2">
        <v>4</v>
      </c>
      <c r="C25" s="2" t="s">
        <v>58</v>
      </c>
      <c r="D25" s="2" t="s">
        <v>50</v>
      </c>
      <c r="E25" s="2">
        <v>780</v>
      </c>
      <c r="F25" s="2">
        <v>810</v>
      </c>
      <c r="G25" s="2">
        <v>10</v>
      </c>
      <c r="H25" s="2">
        <v>15</v>
      </c>
      <c r="I25" s="2">
        <v>40</v>
      </c>
      <c r="J25" s="3">
        <v>5.0000000000000001E-3</v>
      </c>
      <c r="K25" s="4">
        <v>34524</v>
      </c>
      <c r="L25" s="4">
        <v>4443</v>
      </c>
      <c r="M25" s="4">
        <v>-375</v>
      </c>
      <c r="N25" s="5">
        <v>-7.3</v>
      </c>
      <c r="O25" s="2">
        <v>39</v>
      </c>
      <c r="P25" s="2">
        <v>11</v>
      </c>
      <c r="Q25" s="2">
        <v>9</v>
      </c>
      <c r="R25" s="2">
        <v>19</v>
      </c>
      <c r="S25" s="6">
        <v>0.28199999999999997</v>
      </c>
      <c r="T25" s="6">
        <v>0.28499999999999998</v>
      </c>
      <c r="U25" s="6">
        <f t="shared" si="0"/>
        <v>-3.0000000000000027E-3</v>
      </c>
    </row>
    <row r="26" spans="1:21" x14ac:dyDescent="0.3">
      <c r="A26" s="2" t="s">
        <v>56</v>
      </c>
      <c r="B26" s="2">
        <v>5</v>
      </c>
      <c r="C26" s="2" t="s">
        <v>37</v>
      </c>
      <c r="D26" s="2" t="s">
        <v>53</v>
      </c>
      <c r="E26" s="2">
        <v>480</v>
      </c>
      <c r="F26" s="2">
        <v>720</v>
      </c>
      <c r="G26" s="2">
        <v>30</v>
      </c>
      <c r="H26" s="2">
        <v>20</v>
      </c>
      <c r="I26" s="2">
        <v>60</v>
      </c>
      <c r="J26" s="3">
        <v>5.0000000000000001E-3</v>
      </c>
      <c r="K26" s="4">
        <v>34171</v>
      </c>
      <c r="L26" s="4">
        <v>5793</v>
      </c>
      <c r="M26" s="4">
        <v>3172</v>
      </c>
      <c r="N26" s="5">
        <v>128.1</v>
      </c>
      <c r="O26" s="2">
        <v>17</v>
      </c>
      <c r="P26" s="2">
        <v>6</v>
      </c>
      <c r="Q26" s="2">
        <v>6</v>
      </c>
      <c r="R26" s="2">
        <v>5</v>
      </c>
      <c r="S26" s="6">
        <v>0.35299999999999998</v>
      </c>
      <c r="T26" s="6">
        <v>0.25900000000000001</v>
      </c>
      <c r="U26" s="6">
        <f t="shared" si="0"/>
        <v>9.3999999999999972E-2</v>
      </c>
    </row>
    <row r="27" spans="1:21" x14ac:dyDescent="0.3">
      <c r="A27" s="2" t="s">
        <v>56</v>
      </c>
      <c r="B27" s="2">
        <v>6</v>
      </c>
      <c r="C27" s="2" t="s">
        <v>59</v>
      </c>
      <c r="D27" s="2" t="s">
        <v>60</v>
      </c>
      <c r="E27" s="2">
        <v>1140</v>
      </c>
      <c r="F27" s="2">
        <v>2520</v>
      </c>
      <c r="G27" s="2">
        <v>10</v>
      </c>
      <c r="H27" s="2">
        <v>15</v>
      </c>
      <c r="I27" s="2">
        <v>40</v>
      </c>
      <c r="J27" s="3">
        <v>5.0000000000000001E-3</v>
      </c>
      <c r="K27" s="4">
        <v>34116</v>
      </c>
      <c r="L27" s="4">
        <v>3960</v>
      </c>
      <c r="M27" s="4">
        <v>-1830</v>
      </c>
      <c r="N27" s="5">
        <v>-54.9</v>
      </c>
      <c r="O27" s="2">
        <v>7</v>
      </c>
      <c r="P27" s="2">
        <v>1</v>
      </c>
      <c r="Q27" s="2">
        <v>2</v>
      </c>
      <c r="R27" s="2">
        <v>4</v>
      </c>
      <c r="S27" s="6">
        <v>0.14299999999999999</v>
      </c>
      <c r="T27" s="6">
        <v>0.28499999999999998</v>
      </c>
      <c r="U27" s="6">
        <f t="shared" si="0"/>
        <v>-0.14199999999999999</v>
      </c>
    </row>
    <row r="28" spans="1:21" x14ac:dyDescent="0.3">
      <c r="A28" s="2" t="s">
        <v>56</v>
      </c>
      <c r="B28" s="2">
        <v>7</v>
      </c>
      <c r="C28" s="2" t="s">
        <v>61</v>
      </c>
      <c r="D28" s="2" t="s">
        <v>33</v>
      </c>
      <c r="E28" s="2">
        <v>1080</v>
      </c>
      <c r="F28" s="2">
        <v>2610</v>
      </c>
      <c r="G28" s="2">
        <v>10</v>
      </c>
      <c r="H28" s="2">
        <v>15</v>
      </c>
      <c r="I28" s="2">
        <v>40</v>
      </c>
      <c r="J28" s="3">
        <v>5.0000000000000001E-3</v>
      </c>
      <c r="K28" s="4">
        <v>33778</v>
      </c>
      <c r="L28" s="4">
        <v>232</v>
      </c>
      <c r="M28" s="4">
        <v>-3606</v>
      </c>
      <c r="N28" s="5">
        <v>-109.9</v>
      </c>
      <c r="O28" s="2">
        <v>7</v>
      </c>
      <c r="P28" s="2">
        <v>0</v>
      </c>
      <c r="Q28" s="2">
        <v>3</v>
      </c>
      <c r="R28" s="2">
        <v>4</v>
      </c>
      <c r="S28" s="6">
        <v>0</v>
      </c>
      <c r="T28" s="6">
        <v>0.28499999999999998</v>
      </c>
      <c r="U28" s="6">
        <f t="shared" si="0"/>
        <v>-0.28499999999999998</v>
      </c>
    </row>
    <row r="29" spans="1:21" x14ac:dyDescent="0.3">
      <c r="A29" s="2" t="s">
        <v>56</v>
      </c>
      <c r="B29" s="2">
        <v>8</v>
      </c>
      <c r="C29" s="2" t="s">
        <v>43</v>
      </c>
      <c r="D29" s="2" t="s">
        <v>25</v>
      </c>
      <c r="E29" s="2">
        <v>240</v>
      </c>
      <c r="F29" s="2">
        <v>930</v>
      </c>
      <c r="G29" s="2">
        <v>20</v>
      </c>
      <c r="H29" s="2">
        <v>10</v>
      </c>
      <c r="I29" s="2">
        <v>30</v>
      </c>
      <c r="J29" s="3">
        <v>5.0000000000000001E-3</v>
      </c>
      <c r="K29" s="4">
        <v>33317</v>
      </c>
      <c r="L29" s="4">
        <v>1610</v>
      </c>
      <c r="M29" s="4">
        <v>3333</v>
      </c>
      <c r="N29" s="5">
        <v>68.3</v>
      </c>
      <c r="O29" s="2">
        <v>31</v>
      </c>
      <c r="P29" s="2">
        <v>10</v>
      </c>
      <c r="Q29" s="2">
        <v>6</v>
      </c>
      <c r="R29" s="2">
        <v>15</v>
      </c>
      <c r="S29" s="6">
        <v>0.32300000000000001</v>
      </c>
      <c r="T29" s="6">
        <v>0.26800000000000002</v>
      </c>
      <c r="U29" s="6">
        <f t="shared" si="0"/>
        <v>5.4999999999999993E-2</v>
      </c>
    </row>
    <row r="30" spans="1:21" x14ac:dyDescent="0.3">
      <c r="A30" s="2" t="s">
        <v>56</v>
      </c>
      <c r="B30" s="2">
        <v>9</v>
      </c>
      <c r="C30" s="2" t="s">
        <v>62</v>
      </c>
      <c r="D30" s="2" t="s">
        <v>63</v>
      </c>
      <c r="E30" s="2">
        <v>690</v>
      </c>
      <c r="F30" s="2">
        <v>1470</v>
      </c>
      <c r="G30" s="2">
        <v>10</v>
      </c>
      <c r="H30" s="2">
        <v>15</v>
      </c>
      <c r="I30" s="2">
        <v>40</v>
      </c>
      <c r="J30" s="3">
        <v>5.0000000000000001E-3</v>
      </c>
      <c r="K30" s="4">
        <v>33195</v>
      </c>
      <c r="L30" s="4">
        <v>1013</v>
      </c>
      <c r="M30" s="4">
        <v>-3383</v>
      </c>
      <c r="N30" s="5">
        <v>-101.9</v>
      </c>
      <c r="O30" s="2">
        <v>17</v>
      </c>
      <c r="P30" s="2">
        <v>3</v>
      </c>
      <c r="Q30" s="2">
        <v>4</v>
      </c>
      <c r="R30" s="2">
        <v>10</v>
      </c>
      <c r="S30" s="6">
        <v>0.17599999999999999</v>
      </c>
      <c r="T30" s="6">
        <v>0.28499999999999998</v>
      </c>
      <c r="U30" s="6">
        <f t="shared" si="0"/>
        <v>-0.10899999999999999</v>
      </c>
    </row>
    <row r="31" spans="1:21" x14ac:dyDescent="0.3">
      <c r="A31" s="2" t="s">
        <v>56</v>
      </c>
      <c r="B31" s="2">
        <v>10</v>
      </c>
      <c r="C31" s="2" t="s">
        <v>64</v>
      </c>
      <c r="D31" s="2" t="s">
        <v>57</v>
      </c>
      <c r="E31" s="2">
        <v>60</v>
      </c>
      <c r="F31" s="2">
        <v>420</v>
      </c>
      <c r="G31" s="2">
        <v>10</v>
      </c>
      <c r="H31" s="2">
        <v>10</v>
      </c>
      <c r="I31" s="2">
        <v>30</v>
      </c>
      <c r="J31" s="3">
        <v>5.0000000000000001E-3</v>
      </c>
      <c r="K31" s="4">
        <v>32480</v>
      </c>
      <c r="L31" s="4">
        <v>8768</v>
      </c>
      <c r="M31" s="4">
        <v>1987</v>
      </c>
      <c r="N31" s="5">
        <v>43.6</v>
      </c>
      <c r="O31" s="2">
        <v>52</v>
      </c>
      <c r="P31" s="2">
        <v>15</v>
      </c>
      <c r="Q31" s="2">
        <v>11</v>
      </c>
      <c r="R31" s="2">
        <v>26</v>
      </c>
      <c r="S31" s="6">
        <v>0.28799999999999998</v>
      </c>
      <c r="T31" s="6">
        <v>0.26800000000000002</v>
      </c>
      <c r="U31" s="6">
        <f t="shared" si="0"/>
        <v>1.9999999999999962E-2</v>
      </c>
    </row>
    <row r="32" spans="1:21" x14ac:dyDescent="0.3">
      <c r="A32" s="2" t="s">
        <v>65</v>
      </c>
      <c r="B32" s="2">
        <v>1</v>
      </c>
      <c r="C32" s="2" t="s">
        <v>54</v>
      </c>
      <c r="D32" s="2" t="s">
        <v>57</v>
      </c>
      <c r="E32" s="2">
        <v>390</v>
      </c>
      <c r="F32" s="2">
        <v>420</v>
      </c>
      <c r="G32" s="2">
        <v>10</v>
      </c>
      <c r="H32" s="2">
        <v>15</v>
      </c>
      <c r="I32" s="2">
        <v>40</v>
      </c>
      <c r="J32" s="3">
        <v>5.0000000000000001E-3</v>
      </c>
      <c r="K32" s="4">
        <v>38222</v>
      </c>
      <c r="L32" s="4">
        <v>2791</v>
      </c>
      <c r="M32" s="4">
        <v>5415</v>
      </c>
      <c r="N32" s="5">
        <v>166</v>
      </c>
      <c r="O32" s="2">
        <v>70</v>
      </c>
      <c r="P32" s="2">
        <v>23</v>
      </c>
      <c r="Q32" s="2">
        <v>19</v>
      </c>
      <c r="R32" s="2">
        <v>28</v>
      </c>
      <c r="S32" s="6">
        <v>0.32900000000000001</v>
      </c>
      <c r="T32" s="6">
        <v>0.28499999999999998</v>
      </c>
      <c r="U32" s="6">
        <f t="shared" si="0"/>
        <v>4.4000000000000039E-2</v>
      </c>
    </row>
    <row r="33" spans="1:21" x14ac:dyDescent="0.3">
      <c r="A33" s="2" t="s">
        <v>65</v>
      </c>
      <c r="B33" s="2">
        <v>2</v>
      </c>
      <c r="C33" s="2" t="s">
        <v>22</v>
      </c>
      <c r="D33" s="2" t="s">
        <v>23</v>
      </c>
      <c r="E33" s="2">
        <v>150</v>
      </c>
      <c r="F33" s="2">
        <v>660</v>
      </c>
      <c r="G33" s="2">
        <v>15</v>
      </c>
      <c r="H33" s="2">
        <v>10</v>
      </c>
      <c r="I33" s="2">
        <v>30</v>
      </c>
      <c r="J33" s="3">
        <v>5.0000000000000001E-3</v>
      </c>
      <c r="K33" s="4">
        <v>38040</v>
      </c>
      <c r="L33" s="4">
        <v>598</v>
      </c>
      <c r="M33" s="4">
        <v>-6323</v>
      </c>
      <c r="N33" s="5">
        <v>-127.1</v>
      </c>
      <c r="O33" s="2">
        <v>53</v>
      </c>
      <c r="P33" s="2">
        <v>11</v>
      </c>
      <c r="Q33" s="2">
        <v>14</v>
      </c>
      <c r="R33" s="2">
        <v>28</v>
      </c>
      <c r="S33" s="6">
        <v>0.20799999999999999</v>
      </c>
      <c r="T33" s="6">
        <v>0.26800000000000002</v>
      </c>
      <c r="U33" s="6">
        <f t="shared" si="0"/>
        <v>-6.0000000000000026E-2</v>
      </c>
    </row>
    <row r="34" spans="1:21" x14ac:dyDescent="0.3">
      <c r="A34" s="2" t="s">
        <v>65</v>
      </c>
      <c r="B34" s="2">
        <v>3</v>
      </c>
      <c r="C34" s="2" t="s">
        <v>66</v>
      </c>
      <c r="D34" s="2" t="s">
        <v>67</v>
      </c>
      <c r="E34" s="2">
        <v>120</v>
      </c>
      <c r="F34" s="2">
        <v>210</v>
      </c>
      <c r="G34" s="2">
        <v>10</v>
      </c>
      <c r="H34" s="2">
        <v>15</v>
      </c>
      <c r="I34" s="2">
        <v>40</v>
      </c>
      <c r="J34" s="3">
        <v>5.0000000000000001E-3</v>
      </c>
      <c r="K34" s="4">
        <v>37591</v>
      </c>
      <c r="L34" s="4">
        <v>10558</v>
      </c>
      <c r="M34" s="4">
        <v>2923</v>
      </c>
      <c r="N34" s="5">
        <v>95.5</v>
      </c>
      <c r="O34" s="2">
        <v>85</v>
      </c>
      <c r="P34" s="2">
        <v>26</v>
      </c>
      <c r="Q34" s="2">
        <v>17</v>
      </c>
      <c r="R34" s="2">
        <v>42</v>
      </c>
      <c r="S34" s="6">
        <v>0.30599999999999999</v>
      </c>
      <c r="T34" s="6">
        <v>0.28499999999999998</v>
      </c>
      <c r="U34" s="6">
        <f t="shared" ref="U34:U65" si="1">S34-T34</f>
        <v>2.1000000000000019E-2</v>
      </c>
    </row>
    <row r="35" spans="1:21" x14ac:dyDescent="0.3">
      <c r="A35" s="2" t="s">
        <v>65</v>
      </c>
      <c r="B35" s="2">
        <v>4</v>
      </c>
      <c r="C35" s="2" t="s">
        <v>43</v>
      </c>
      <c r="D35" s="2" t="s">
        <v>25</v>
      </c>
      <c r="E35" s="2">
        <v>240</v>
      </c>
      <c r="F35" s="2">
        <v>930</v>
      </c>
      <c r="G35" s="2">
        <v>20</v>
      </c>
      <c r="H35" s="2">
        <v>10</v>
      </c>
      <c r="I35" s="2">
        <v>30</v>
      </c>
      <c r="J35" s="3">
        <v>5.0000000000000001E-3</v>
      </c>
      <c r="K35" s="4">
        <v>37137</v>
      </c>
      <c r="L35" s="4">
        <v>3333</v>
      </c>
      <c r="M35" s="4">
        <v>5814</v>
      </c>
      <c r="N35" s="5">
        <v>116.2</v>
      </c>
      <c r="O35" s="2">
        <v>34</v>
      </c>
      <c r="P35" s="2">
        <v>12</v>
      </c>
      <c r="Q35" s="2">
        <v>9</v>
      </c>
      <c r="R35" s="2">
        <v>13</v>
      </c>
      <c r="S35" s="6">
        <v>0.35299999999999998</v>
      </c>
      <c r="T35" s="6">
        <v>0.26800000000000002</v>
      </c>
      <c r="U35" s="6">
        <f t="shared" si="1"/>
        <v>8.4999999999999964E-2</v>
      </c>
    </row>
    <row r="36" spans="1:21" x14ac:dyDescent="0.3">
      <c r="A36" s="2" t="s">
        <v>65</v>
      </c>
      <c r="B36" s="2">
        <v>5</v>
      </c>
      <c r="C36" s="2" t="s">
        <v>59</v>
      </c>
      <c r="D36" s="2" t="s">
        <v>60</v>
      </c>
      <c r="E36" s="2">
        <v>1140</v>
      </c>
      <c r="F36" s="2">
        <v>2520</v>
      </c>
      <c r="G36" s="2">
        <v>10</v>
      </c>
      <c r="H36" s="2">
        <v>15</v>
      </c>
      <c r="I36" s="2">
        <v>40</v>
      </c>
      <c r="J36" s="3">
        <v>5.0000000000000001E-3</v>
      </c>
      <c r="K36" s="4">
        <v>36244</v>
      </c>
      <c r="L36" s="4">
        <v>-1830</v>
      </c>
      <c r="M36" s="4">
        <v>-1085</v>
      </c>
      <c r="N36" s="5">
        <v>-31.2</v>
      </c>
      <c r="O36" s="2">
        <v>16</v>
      </c>
      <c r="P36" s="2">
        <v>4</v>
      </c>
      <c r="Q36" s="2">
        <v>5</v>
      </c>
      <c r="R36" s="2">
        <v>7</v>
      </c>
      <c r="S36" s="6">
        <v>0.25</v>
      </c>
      <c r="T36" s="6">
        <v>0.28499999999999998</v>
      </c>
      <c r="U36" s="6">
        <f t="shared" si="1"/>
        <v>-3.4999999999999976E-2</v>
      </c>
    </row>
    <row r="37" spans="1:21" x14ac:dyDescent="0.3">
      <c r="A37" s="2" t="s">
        <v>65</v>
      </c>
      <c r="B37" s="2">
        <v>6</v>
      </c>
      <c r="C37" s="2" t="s">
        <v>68</v>
      </c>
      <c r="D37" s="2" t="s">
        <v>69</v>
      </c>
      <c r="E37" s="2">
        <v>1200</v>
      </c>
      <c r="F37" s="2">
        <v>2460</v>
      </c>
      <c r="G37" s="2">
        <v>10</v>
      </c>
      <c r="H37" s="2">
        <v>15</v>
      </c>
      <c r="I37" s="2">
        <v>40</v>
      </c>
      <c r="J37" s="3">
        <v>5.0000000000000001E-3</v>
      </c>
      <c r="K37" s="4">
        <v>35531</v>
      </c>
      <c r="L37" s="4">
        <v>3156</v>
      </c>
      <c r="M37" s="4">
        <v>-41</v>
      </c>
      <c r="N37" s="5">
        <v>0.2</v>
      </c>
      <c r="O37" s="2">
        <v>14</v>
      </c>
      <c r="P37" s="2">
        <v>4</v>
      </c>
      <c r="Q37" s="2">
        <v>4</v>
      </c>
      <c r="R37" s="2">
        <v>6</v>
      </c>
      <c r="S37" s="6">
        <v>0.28599999999999998</v>
      </c>
      <c r="T37" s="6">
        <v>0.28499999999999998</v>
      </c>
      <c r="U37" s="6">
        <f t="shared" si="1"/>
        <v>1.0000000000000009E-3</v>
      </c>
    </row>
    <row r="38" spans="1:21" x14ac:dyDescent="0.3">
      <c r="A38" s="2" t="s">
        <v>65</v>
      </c>
      <c r="B38" s="2">
        <v>7</v>
      </c>
      <c r="C38" s="2" t="s">
        <v>30</v>
      </c>
      <c r="D38" s="2" t="s">
        <v>57</v>
      </c>
      <c r="E38" s="2">
        <v>330</v>
      </c>
      <c r="F38" s="2">
        <v>420</v>
      </c>
      <c r="G38" s="2">
        <v>10</v>
      </c>
      <c r="H38" s="2">
        <v>20</v>
      </c>
      <c r="I38" s="2">
        <v>60</v>
      </c>
      <c r="J38" s="3">
        <v>5.0000000000000001E-3</v>
      </c>
      <c r="K38" s="4">
        <v>35506</v>
      </c>
      <c r="L38" s="4">
        <v>9810</v>
      </c>
      <c r="M38" s="4">
        <v>10007</v>
      </c>
      <c r="N38" s="5">
        <v>389.9</v>
      </c>
      <c r="O38" s="2">
        <v>43</v>
      </c>
      <c r="P38" s="2">
        <v>16</v>
      </c>
      <c r="Q38" s="2">
        <v>9</v>
      </c>
      <c r="R38" s="2">
        <v>18</v>
      </c>
      <c r="S38" s="6">
        <v>0.37200000000000011</v>
      </c>
      <c r="T38" s="6">
        <v>0.25900000000000001</v>
      </c>
      <c r="U38" s="6">
        <f t="shared" si="1"/>
        <v>0.1130000000000001</v>
      </c>
    </row>
    <row r="39" spans="1:21" x14ac:dyDescent="0.3">
      <c r="A39" s="2" t="s">
        <v>65</v>
      </c>
      <c r="B39" s="2">
        <v>8</v>
      </c>
      <c r="C39" s="2" t="s">
        <v>44</v>
      </c>
      <c r="D39" s="2" t="s">
        <v>51</v>
      </c>
      <c r="E39" s="2">
        <v>270</v>
      </c>
      <c r="F39" s="2">
        <v>300</v>
      </c>
      <c r="G39" s="2">
        <v>30</v>
      </c>
      <c r="H39" s="2">
        <v>20</v>
      </c>
      <c r="I39" s="2">
        <v>60</v>
      </c>
      <c r="J39" s="3">
        <v>5.0000000000000001E-3</v>
      </c>
      <c r="K39" s="4">
        <v>34996</v>
      </c>
      <c r="L39" s="4">
        <v>2107</v>
      </c>
      <c r="M39" s="4">
        <v>-4301</v>
      </c>
      <c r="N39" s="5">
        <v>-170.1</v>
      </c>
      <c r="O39" s="2">
        <v>43</v>
      </c>
      <c r="P39" s="2">
        <v>9</v>
      </c>
      <c r="Q39" s="2">
        <v>15</v>
      </c>
      <c r="R39" s="2">
        <v>19</v>
      </c>
      <c r="S39" s="6">
        <v>0.20899999999999999</v>
      </c>
      <c r="T39" s="6">
        <v>0.25900000000000001</v>
      </c>
      <c r="U39" s="6">
        <f t="shared" si="1"/>
        <v>-5.0000000000000017E-2</v>
      </c>
    </row>
    <row r="40" spans="1:21" x14ac:dyDescent="0.3">
      <c r="A40" s="2" t="s">
        <v>65</v>
      </c>
      <c r="B40" s="2">
        <v>9</v>
      </c>
      <c r="C40" s="2" t="s">
        <v>58</v>
      </c>
      <c r="D40" s="2" t="s">
        <v>50</v>
      </c>
      <c r="E40" s="2">
        <v>780</v>
      </c>
      <c r="F40" s="2">
        <v>810</v>
      </c>
      <c r="G40" s="2">
        <v>10</v>
      </c>
      <c r="H40" s="2">
        <v>15</v>
      </c>
      <c r="I40" s="2">
        <v>40</v>
      </c>
      <c r="J40" s="3">
        <v>5.0000000000000001E-3</v>
      </c>
      <c r="K40" s="4">
        <v>34442</v>
      </c>
      <c r="L40" s="4">
        <v>-375</v>
      </c>
      <c r="M40" s="4">
        <v>-2994</v>
      </c>
      <c r="N40" s="5">
        <v>-85.6</v>
      </c>
      <c r="O40" s="2">
        <v>58</v>
      </c>
      <c r="P40" s="2">
        <v>15</v>
      </c>
      <c r="Q40" s="2">
        <v>13</v>
      </c>
      <c r="R40" s="2">
        <v>30</v>
      </c>
      <c r="S40" s="6">
        <v>0.25900000000000001</v>
      </c>
      <c r="T40" s="6">
        <v>0.28499999999999998</v>
      </c>
      <c r="U40" s="6">
        <f t="shared" si="1"/>
        <v>-2.5999999999999968E-2</v>
      </c>
    </row>
    <row r="41" spans="1:21" x14ac:dyDescent="0.3">
      <c r="A41" s="2" t="s">
        <v>65</v>
      </c>
      <c r="B41" s="2">
        <v>10</v>
      </c>
      <c r="C41" s="2" t="s">
        <v>70</v>
      </c>
      <c r="D41" s="2" t="s">
        <v>71</v>
      </c>
      <c r="E41" s="2">
        <v>3600</v>
      </c>
      <c r="F41" s="2">
        <v>3840</v>
      </c>
      <c r="G41" s="2">
        <v>10</v>
      </c>
      <c r="H41" s="2">
        <v>15</v>
      </c>
      <c r="I41" s="2">
        <v>40</v>
      </c>
      <c r="J41" s="3">
        <v>5.0000000000000001E-3</v>
      </c>
      <c r="K41" s="4">
        <v>34171</v>
      </c>
      <c r="L41" s="4">
        <v>2896</v>
      </c>
      <c r="M41" s="4">
        <v>738</v>
      </c>
      <c r="N41" s="5">
        <v>23.8</v>
      </c>
      <c r="O41" s="2">
        <v>16</v>
      </c>
      <c r="P41" s="2">
        <v>5</v>
      </c>
      <c r="Q41" s="2">
        <v>2</v>
      </c>
      <c r="R41" s="2">
        <v>9</v>
      </c>
      <c r="S41" s="6">
        <v>0.312</v>
      </c>
      <c r="T41" s="6">
        <v>0.28499999999999998</v>
      </c>
      <c r="U41" s="6">
        <f t="shared" si="1"/>
        <v>2.7000000000000024E-2</v>
      </c>
    </row>
    <row r="42" spans="1:21" x14ac:dyDescent="0.3">
      <c r="A42" s="2" t="s">
        <v>72</v>
      </c>
      <c r="B42" s="2">
        <v>1</v>
      </c>
      <c r="C42" s="2" t="s">
        <v>51</v>
      </c>
      <c r="D42" s="2" t="s">
        <v>53</v>
      </c>
      <c r="E42" s="2">
        <v>300</v>
      </c>
      <c r="F42" s="2">
        <v>720</v>
      </c>
      <c r="G42" s="2">
        <v>15</v>
      </c>
      <c r="H42" s="2">
        <v>20</v>
      </c>
      <c r="I42" s="2">
        <v>50</v>
      </c>
      <c r="J42" s="3">
        <v>5.0000000000000001E-3</v>
      </c>
      <c r="K42" s="4">
        <v>51896</v>
      </c>
      <c r="L42" s="4">
        <v>16538</v>
      </c>
      <c r="M42" s="4">
        <v>-5152</v>
      </c>
      <c r="N42" s="5">
        <v>-208.9</v>
      </c>
      <c r="O42" s="2">
        <v>27</v>
      </c>
      <c r="P42" s="2">
        <v>5</v>
      </c>
      <c r="Q42" s="2">
        <v>9</v>
      </c>
      <c r="R42" s="2">
        <v>13</v>
      </c>
      <c r="S42" s="6">
        <v>0.185</v>
      </c>
      <c r="T42" s="6">
        <v>0.29599999999999999</v>
      </c>
      <c r="U42" s="6">
        <f t="shared" si="1"/>
        <v>-0.11099999999999999</v>
      </c>
    </row>
    <row r="43" spans="1:21" x14ac:dyDescent="0.3">
      <c r="A43" s="2" t="s">
        <v>72</v>
      </c>
      <c r="B43" s="2">
        <v>2</v>
      </c>
      <c r="C43" s="2" t="s">
        <v>22</v>
      </c>
      <c r="D43" s="2" t="s">
        <v>36</v>
      </c>
      <c r="E43" s="2">
        <v>150</v>
      </c>
      <c r="F43" s="2">
        <v>450</v>
      </c>
      <c r="G43" s="2">
        <v>10</v>
      </c>
      <c r="H43" s="2">
        <v>10</v>
      </c>
      <c r="I43" s="2">
        <v>30</v>
      </c>
      <c r="J43" s="3">
        <v>5.0000000000000001E-3</v>
      </c>
      <c r="K43" s="4">
        <v>47907</v>
      </c>
      <c r="L43" s="4">
        <v>13605</v>
      </c>
      <c r="M43" s="4">
        <v>-11691</v>
      </c>
      <c r="N43" s="5">
        <v>-244.8</v>
      </c>
      <c r="O43" s="2">
        <v>64</v>
      </c>
      <c r="P43" s="2">
        <v>11</v>
      </c>
      <c r="Q43" s="2">
        <v>15</v>
      </c>
      <c r="R43" s="2">
        <v>38</v>
      </c>
      <c r="S43" s="6">
        <v>0.17199999999999999</v>
      </c>
      <c r="T43" s="6">
        <v>0.26800000000000002</v>
      </c>
      <c r="U43" s="6">
        <f t="shared" si="1"/>
        <v>-9.600000000000003E-2</v>
      </c>
    </row>
    <row r="44" spans="1:21" x14ac:dyDescent="0.3">
      <c r="A44" s="2" t="s">
        <v>72</v>
      </c>
      <c r="B44" s="2">
        <v>3</v>
      </c>
      <c r="C44" s="2" t="s">
        <v>73</v>
      </c>
      <c r="D44" s="2" t="s">
        <v>71</v>
      </c>
      <c r="E44" s="2">
        <v>1950</v>
      </c>
      <c r="F44" s="2">
        <v>3840</v>
      </c>
      <c r="G44" s="2">
        <v>10</v>
      </c>
      <c r="H44" s="2">
        <v>15</v>
      </c>
      <c r="I44" s="2">
        <v>40</v>
      </c>
      <c r="J44" s="3">
        <v>5.0000000000000001E-3</v>
      </c>
      <c r="K44" s="4">
        <v>46689</v>
      </c>
      <c r="L44" s="4">
        <v>7263</v>
      </c>
      <c r="M44" s="4">
        <v>-293</v>
      </c>
      <c r="N44" s="5">
        <v>-7.7</v>
      </c>
      <c r="O44" s="2">
        <v>11</v>
      </c>
      <c r="P44" s="2">
        <v>3</v>
      </c>
      <c r="Q44" s="2">
        <v>2</v>
      </c>
      <c r="R44" s="2">
        <v>6</v>
      </c>
      <c r="S44" s="6">
        <v>0.27300000000000002</v>
      </c>
      <c r="T44" s="6">
        <v>0.28499999999999998</v>
      </c>
      <c r="U44" s="6">
        <f t="shared" si="1"/>
        <v>-1.1999999999999955E-2</v>
      </c>
    </row>
    <row r="45" spans="1:21" x14ac:dyDescent="0.3">
      <c r="A45" s="2" t="s">
        <v>72</v>
      </c>
      <c r="B45" s="2">
        <v>4</v>
      </c>
      <c r="C45" s="2" t="s">
        <v>30</v>
      </c>
      <c r="D45" s="2" t="s">
        <v>57</v>
      </c>
      <c r="E45" s="2">
        <v>330</v>
      </c>
      <c r="F45" s="2">
        <v>420</v>
      </c>
      <c r="G45" s="2">
        <v>10</v>
      </c>
      <c r="H45" s="2">
        <v>20</v>
      </c>
      <c r="I45" s="2">
        <v>60</v>
      </c>
      <c r="J45" s="3">
        <v>5.0000000000000001E-3</v>
      </c>
      <c r="K45" s="4">
        <v>45990</v>
      </c>
      <c r="L45" s="4">
        <v>10007</v>
      </c>
      <c r="M45" s="4">
        <v>1234</v>
      </c>
      <c r="N45" s="5">
        <v>54.8</v>
      </c>
      <c r="O45" s="2">
        <v>36</v>
      </c>
      <c r="P45" s="2">
        <v>10</v>
      </c>
      <c r="Q45" s="2">
        <v>15</v>
      </c>
      <c r="R45" s="2">
        <v>11</v>
      </c>
      <c r="S45" s="6">
        <v>0.27800000000000002</v>
      </c>
      <c r="T45" s="6">
        <v>0.25900000000000001</v>
      </c>
      <c r="U45" s="6">
        <f t="shared" si="1"/>
        <v>1.9000000000000017E-2</v>
      </c>
    </row>
    <row r="46" spans="1:21" x14ac:dyDescent="0.3">
      <c r="A46" s="2" t="s">
        <v>72</v>
      </c>
      <c r="B46" s="2">
        <v>5</v>
      </c>
      <c r="C46" s="2" t="s">
        <v>54</v>
      </c>
      <c r="D46" s="2" t="s">
        <v>57</v>
      </c>
      <c r="E46" s="2">
        <v>390</v>
      </c>
      <c r="F46" s="2">
        <v>420</v>
      </c>
      <c r="G46" s="2">
        <v>10</v>
      </c>
      <c r="H46" s="2">
        <v>15</v>
      </c>
      <c r="I46" s="2">
        <v>40</v>
      </c>
      <c r="J46" s="3">
        <v>5.0000000000000001E-3</v>
      </c>
      <c r="K46" s="4">
        <v>44303</v>
      </c>
      <c r="L46" s="4">
        <v>5415</v>
      </c>
      <c r="M46" s="4">
        <v>-16180</v>
      </c>
      <c r="N46" s="5">
        <v>-525.6</v>
      </c>
      <c r="O46" s="2">
        <v>58</v>
      </c>
      <c r="P46" s="2">
        <v>7</v>
      </c>
      <c r="Q46" s="2">
        <v>26</v>
      </c>
      <c r="R46" s="2">
        <v>25</v>
      </c>
      <c r="S46" s="6">
        <v>0.121</v>
      </c>
      <c r="T46" s="6">
        <v>0.28499999999999998</v>
      </c>
      <c r="U46" s="6">
        <f t="shared" si="1"/>
        <v>-0.16399999999999998</v>
      </c>
    </row>
    <row r="47" spans="1:21" x14ac:dyDescent="0.3">
      <c r="A47" s="2" t="s">
        <v>72</v>
      </c>
      <c r="B47" s="2">
        <v>6</v>
      </c>
      <c r="C47" s="2" t="s">
        <v>37</v>
      </c>
      <c r="D47" s="2" t="s">
        <v>53</v>
      </c>
      <c r="E47" s="2">
        <v>480</v>
      </c>
      <c r="F47" s="2">
        <v>720</v>
      </c>
      <c r="G47" s="2">
        <v>30</v>
      </c>
      <c r="H47" s="2">
        <v>20</v>
      </c>
      <c r="I47" s="2">
        <v>60</v>
      </c>
      <c r="J47" s="3">
        <v>5.0000000000000001E-3</v>
      </c>
      <c r="K47" s="4">
        <v>43926</v>
      </c>
      <c r="L47" s="4">
        <v>8298</v>
      </c>
      <c r="M47" s="4">
        <v>94</v>
      </c>
      <c r="N47" s="5">
        <v>6.7</v>
      </c>
      <c r="O47" s="2">
        <v>19</v>
      </c>
      <c r="P47" s="2">
        <v>5</v>
      </c>
      <c r="Q47" s="2">
        <v>7</v>
      </c>
      <c r="R47" s="2">
        <v>7</v>
      </c>
      <c r="S47" s="6">
        <v>0.26300000000000001</v>
      </c>
      <c r="T47" s="6">
        <v>0.25900000000000001</v>
      </c>
      <c r="U47" s="6">
        <f t="shared" si="1"/>
        <v>4.0000000000000036E-3</v>
      </c>
    </row>
    <row r="48" spans="1:21" x14ac:dyDescent="0.3">
      <c r="A48" s="2" t="s">
        <v>72</v>
      </c>
      <c r="B48" s="2">
        <v>7</v>
      </c>
      <c r="C48" s="2" t="s">
        <v>74</v>
      </c>
      <c r="D48" s="2" t="s">
        <v>61</v>
      </c>
      <c r="E48" s="2">
        <v>10</v>
      </c>
      <c r="F48" s="2">
        <v>1080</v>
      </c>
      <c r="G48" s="2">
        <v>20</v>
      </c>
      <c r="H48" s="2">
        <v>10</v>
      </c>
      <c r="I48" s="2">
        <v>30</v>
      </c>
      <c r="J48" s="3">
        <v>5.0000000000000001E-3</v>
      </c>
      <c r="K48" s="4">
        <v>42250</v>
      </c>
      <c r="L48" s="4">
        <v>12232</v>
      </c>
      <c r="M48" s="4">
        <v>-1760</v>
      </c>
      <c r="N48" s="5">
        <v>-33.1</v>
      </c>
      <c r="O48" s="2">
        <v>33</v>
      </c>
      <c r="P48" s="2">
        <v>8</v>
      </c>
      <c r="Q48" s="2">
        <v>8</v>
      </c>
      <c r="R48" s="2">
        <v>17</v>
      </c>
      <c r="S48" s="6">
        <v>0.24199999999999999</v>
      </c>
      <c r="T48" s="6">
        <v>0.26800000000000002</v>
      </c>
      <c r="U48" s="6">
        <f t="shared" si="1"/>
        <v>-2.6000000000000023E-2</v>
      </c>
    </row>
    <row r="49" spans="1:21" x14ac:dyDescent="0.3">
      <c r="A49" s="2" t="s">
        <v>72</v>
      </c>
      <c r="B49" s="2">
        <v>8</v>
      </c>
      <c r="C49" s="2" t="s">
        <v>43</v>
      </c>
      <c r="D49" s="2" t="s">
        <v>25</v>
      </c>
      <c r="E49" s="2">
        <v>240</v>
      </c>
      <c r="F49" s="2">
        <v>930</v>
      </c>
      <c r="G49" s="2">
        <v>20</v>
      </c>
      <c r="H49" s="2">
        <v>10</v>
      </c>
      <c r="I49" s="2">
        <v>30</v>
      </c>
      <c r="J49" s="3">
        <v>5.0000000000000001E-3</v>
      </c>
      <c r="K49" s="4">
        <v>39462</v>
      </c>
      <c r="L49" s="4">
        <v>5814</v>
      </c>
      <c r="M49" s="4">
        <v>-5809</v>
      </c>
      <c r="N49" s="5">
        <v>-118.2</v>
      </c>
      <c r="O49" s="2">
        <v>26</v>
      </c>
      <c r="P49" s="2">
        <v>4</v>
      </c>
      <c r="Q49" s="2">
        <v>8</v>
      </c>
      <c r="R49" s="2">
        <v>14</v>
      </c>
      <c r="S49" s="6">
        <v>0.154</v>
      </c>
      <c r="T49" s="6">
        <v>0.26800000000000002</v>
      </c>
      <c r="U49" s="6">
        <f t="shared" si="1"/>
        <v>-0.11400000000000002</v>
      </c>
    </row>
    <row r="50" spans="1:21" x14ac:dyDescent="0.3">
      <c r="A50" s="2" t="s">
        <v>72</v>
      </c>
      <c r="B50" s="2">
        <v>9</v>
      </c>
      <c r="C50" s="2" t="s">
        <v>30</v>
      </c>
      <c r="D50" s="2" t="s">
        <v>36</v>
      </c>
      <c r="E50" s="2">
        <v>330</v>
      </c>
      <c r="F50" s="2">
        <v>450</v>
      </c>
      <c r="G50" s="2">
        <v>10</v>
      </c>
      <c r="H50" s="2">
        <v>10</v>
      </c>
      <c r="I50" s="2">
        <v>30</v>
      </c>
      <c r="J50" s="3">
        <v>5.0000000000000001E-3</v>
      </c>
      <c r="K50" s="4">
        <v>39332</v>
      </c>
      <c r="L50" s="4">
        <v>13782</v>
      </c>
      <c r="M50" s="4">
        <v>-12498</v>
      </c>
      <c r="N50" s="5">
        <v>-263.39999999999998</v>
      </c>
      <c r="O50" s="2">
        <v>62</v>
      </c>
      <c r="P50" s="2">
        <v>10</v>
      </c>
      <c r="Q50" s="2">
        <v>19</v>
      </c>
      <c r="R50" s="2">
        <v>33</v>
      </c>
      <c r="S50" s="6">
        <v>0.161</v>
      </c>
      <c r="T50" s="6">
        <v>0.26800000000000002</v>
      </c>
      <c r="U50" s="6">
        <f t="shared" si="1"/>
        <v>-0.10700000000000001</v>
      </c>
    </row>
    <row r="51" spans="1:21" x14ac:dyDescent="0.3">
      <c r="A51" s="2" t="s">
        <v>72</v>
      </c>
      <c r="B51" s="2">
        <v>10</v>
      </c>
      <c r="C51" s="2" t="s">
        <v>30</v>
      </c>
      <c r="D51" s="2" t="s">
        <v>36</v>
      </c>
      <c r="E51" s="2">
        <v>330</v>
      </c>
      <c r="F51" s="2">
        <v>450</v>
      </c>
      <c r="G51" s="2">
        <v>10</v>
      </c>
      <c r="H51" s="2">
        <v>20</v>
      </c>
      <c r="I51" s="2">
        <v>50</v>
      </c>
      <c r="J51" s="3">
        <v>5.0000000000000001E-3</v>
      </c>
      <c r="K51" s="4">
        <v>38791</v>
      </c>
      <c r="L51" s="4">
        <v>6300</v>
      </c>
      <c r="M51" s="4">
        <v>-6091</v>
      </c>
      <c r="N51" s="5">
        <v>-247.3</v>
      </c>
      <c r="O51" s="2">
        <v>39</v>
      </c>
      <c r="P51" s="2">
        <v>8</v>
      </c>
      <c r="Q51" s="2">
        <v>17</v>
      </c>
      <c r="R51" s="2">
        <v>14</v>
      </c>
      <c r="S51" s="6">
        <v>0.20499999999999999</v>
      </c>
      <c r="T51" s="6">
        <v>0.29599999999999999</v>
      </c>
      <c r="U51" s="6">
        <f t="shared" si="1"/>
        <v>-9.0999999999999998E-2</v>
      </c>
    </row>
    <row r="52" spans="1:21" x14ac:dyDescent="0.3">
      <c r="A52" s="2" t="s">
        <v>75</v>
      </c>
      <c r="B52" s="2">
        <v>1</v>
      </c>
      <c r="C52" s="2" t="s">
        <v>76</v>
      </c>
      <c r="D52" s="2" t="s">
        <v>30</v>
      </c>
      <c r="E52" s="2">
        <v>5</v>
      </c>
      <c r="F52" s="2">
        <v>330</v>
      </c>
      <c r="G52" s="2">
        <v>20</v>
      </c>
      <c r="H52" s="2">
        <v>10</v>
      </c>
      <c r="I52" s="2">
        <v>30</v>
      </c>
      <c r="J52" s="3">
        <v>5.0000000000000001E-3</v>
      </c>
      <c r="K52" s="4">
        <v>50898</v>
      </c>
      <c r="L52" s="4">
        <v>4834</v>
      </c>
      <c r="M52" s="4">
        <v>8600</v>
      </c>
      <c r="N52" s="5">
        <v>169.2</v>
      </c>
      <c r="O52" s="2">
        <v>44</v>
      </c>
      <c r="P52" s="2">
        <v>16</v>
      </c>
      <c r="Q52" s="2">
        <v>9</v>
      </c>
      <c r="R52" s="2">
        <v>19</v>
      </c>
      <c r="S52" s="6">
        <v>0.36399999999999999</v>
      </c>
      <c r="T52" s="6">
        <v>0.26800000000000002</v>
      </c>
      <c r="U52" s="6">
        <f t="shared" si="1"/>
        <v>9.5999999999999974E-2</v>
      </c>
    </row>
    <row r="53" spans="1:21" x14ac:dyDescent="0.3">
      <c r="A53" s="2" t="s">
        <v>75</v>
      </c>
      <c r="B53" s="2">
        <v>2</v>
      </c>
      <c r="C53" s="2" t="s">
        <v>30</v>
      </c>
      <c r="D53" s="2" t="s">
        <v>57</v>
      </c>
      <c r="E53" s="2">
        <v>330</v>
      </c>
      <c r="F53" s="2">
        <v>420</v>
      </c>
      <c r="G53" s="2">
        <v>10</v>
      </c>
      <c r="H53" s="2">
        <v>20</v>
      </c>
      <c r="I53" s="2">
        <v>60</v>
      </c>
      <c r="J53" s="3">
        <v>5.0000000000000001E-3</v>
      </c>
      <c r="K53" s="4">
        <v>46004</v>
      </c>
      <c r="L53" s="4">
        <v>1234</v>
      </c>
      <c r="M53" s="4">
        <v>-2634</v>
      </c>
      <c r="N53" s="5">
        <v>-102.4</v>
      </c>
      <c r="O53" s="2">
        <v>32</v>
      </c>
      <c r="P53" s="2">
        <v>7</v>
      </c>
      <c r="Q53" s="2">
        <v>9</v>
      </c>
      <c r="R53" s="2">
        <v>16</v>
      </c>
      <c r="S53" s="6">
        <v>0.219</v>
      </c>
      <c r="T53" s="6">
        <v>0.25900000000000001</v>
      </c>
      <c r="U53" s="6">
        <f t="shared" si="1"/>
        <v>-4.0000000000000008E-2</v>
      </c>
    </row>
    <row r="54" spans="1:21" x14ac:dyDescent="0.3">
      <c r="A54" s="2" t="s">
        <v>75</v>
      </c>
      <c r="B54" s="2">
        <v>3</v>
      </c>
      <c r="C54" s="2" t="s">
        <v>77</v>
      </c>
      <c r="D54" s="2" t="s">
        <v>51</v>
      </c>
      <c r="E54" s="2">
        <v>7</v>
      </c>
      <c r="F54" s="2">
        <v>300</v>
      </c>
      <c r="G54" s="2">
        <v>40</v>
      </c>
      <c r="H54" s="2">
        <v>20</v>
      </c>
      <c r="I54" s="2">
        <v>60</v>
      </c>
      <c r="J54" s="3">
        <v>5.0000000000000001E-3</v>
      </c>
      <c r="K54" s="4">
        <v>43804</v>
      </c>
      <c r="L54" s="4">
        <v>7829</v>
      </c>
      <c r="M54" s="4">
        <v>179</v>
      </c>
      <c r="N54" s="5">
        <v>9.5</v>
      </c>
      <c r="O54" s="2">
        <v>15</v>
      </c>
      <c r="P54" s="2">
        <v>4</v>
      </c>
      <c r="Q54" s="2">
        <v>3</v>
      </c>
      <c r="R54" s="2">
        <v>8</v>
      </c>
      <c r="S54" s="6">
        <v>0.26700000000000002</v>
      </c>
      <c r="T54" s="6">
        <v>0.25900000000000001</v>
      </c>
      <c r="U54" s="6">
        <f t="shared" si="1"/>
        <v>8.0000000000000071E-3</v>
      </c>
    </row>
    <row r="55" spans="1:21" x14ac:dyDescent="0.3">
      <c r="A55" s="2" t="s">
        <v>75</v>
      </c>
      <c r="B55" s="2">
        <v>4</v>
      </c>
      <c r="C55" s="2" t="s">
        <v>50</v>
      </c>
      <c r="D55" s="2" t="s">
        <v>78</v>
      </c>
      <c r="E55" s="2">
        <v>810</v>
      </c>
      <c r="F55" s="2">
        <v>1560</v>
      </c>
      <c r="G55" s="2">
        <v>25</v>
      </c>
      <c r="H55" s="2">
        <v>15</v>
      </c>
      <c r="I55" s="2">
        <v>40</v>
      </c>
      <c r="J55" s="3">
        <v>5.0000000000000001E-3</v>
      </c>
      <c r="K55" s="4">
        <v>43769</v>
      </c>
      <c r="L55" s="4">
        <v>8078</v>
      </c>
      <c r="M55" s="4">
        <v>-835</v>
      </c>
      <c r="N55" s="5">
        <v>-23.3</v>
      </c>
      <c r="O55" s="2">
        <v>19</v>
      </c>
      <c r="P55" s="2">
        <v>5</v>
      </c>
      <c r="Q55" s="2">
        <v>6</v>
      </c>
      <c r="R55" s="2">
        <v>8</v>
      </c>
      <c r="S55" s="6">
        <v>0.26300000000000001</v>
      </c>
      <c r="T55" s="6">
        <v>0.28499999999999998</v>
      </c>
      <c r="U55" s="6">
        <f t="shared" si="1"/>
        <v>-2.1999999999999964E-2</v>
      </c>
    </row>
    <row r="56" spans="1:21" x14ac:dyDescent="0.3">
      <c r="A56" s="2" t="s">
        <v>75</v>
      </c>
      <c r="B56" s="2">
        <v>5</v>
      </c>
      <c r="C56" s="2" t="s">
        <v>37</v>
      </c>
      <c r="D56" s="2" t="s">
        <v>53</v>
      </c>
      <c r="E56" s="2">
        <v>480</v>
      </c>
      <c r="F56" s="2">
        <v>720</v>
      </c>
      <c r="G56" s="2">
        <v>30</v>
      </c>
      <c r="H56" s="2">
        <v>20</v>
      </c>
      <c r="I56" s="2">
        <v>60</v>
      </c>
      <c r="J56" s="3">
        <v>5.0000000000000001E-3</v>
      </c>
      <c r="K56" s="4">
        <v>43560</v>
      </c>
      <c r="L56" s="4">
        <v>94</v>
      </c>
      <c r="M56" s="4">
        <v>-5217</v>
      </c>
      <c r="N56" s="5">
        <v>-212.6</v>
      </c>
      <c r="O56" s="2">
        <v>18</v>
      </c>
      <c r="P56" s="2">
        <v>2</v>
      </c>
      <c r="Q56" s="2">
        <v>7</v>
      </c>
      <c r="R56" s="2">
        <v>9</v>
      </c>
      <c r="S56" s="6">
        <v>0.111</v>
      </c>
      <c r="T56" s="6">
        <v>0.25900000000000001</v>
      </c>
      <c r="U56" s="6">
        <f t="shared" si="1"/>
        <v>-0.14800000000000002</v>
      </c>
    </row>
    <row r="57" spans="1:21" x14ac:dyDescent="0.3">
      <c r="A57" s="2" t="s">
        <v>75</v>
      </c>
      <c r="B57" s="2">
        <v>6</v>
      </c>
      <c r="C57" s="2" t="s">
        <v>50</v>
      </c>
      <c r="D57" s="2" t="s">
        <v>78</v>
      </c>
      <c r="E57" s="2">
        <v>810</v>
      </c>
      <c r="F57" s="2">
        <v>1560</v>
      </c>
      <c r="G57" s="2">
        <v>30</v>
      </c>
      <c r="H57" s="2">
        <v>10</v>
      </c>
      <c r="I57" s="2">
        <v>30</v>
      </c>
      <c r="J57" s="3">
        <v>5.0000000000000001E-3</v>
      </c>
      <c r="K57" s="4">
        <v>43320</v>
      </c>
      <c r="L57" s="4">
        <v>8031</v>
      </c>
      <c r="M57" s="4">
        <v>3259</v>
      </c>
      <c r="N57" s="5">
        <v>66</v>
      </c>
      <c r="O57" s="2">
        <v>20</v>
      </c>
      <c r="P57" s="2">
        <v>7</v>
      </c>
      <c r="Q57" s="2">
        <v>4</v>
      </c>
      <c r="R57" s="2">
        <v>9</v>
      </c>
      <c r="S57" s="6">
        <v>0.35</v>
      </c>
      <c r="T57" s="6">
        <v>0.26800000000000002</v>
      </c>
      <c r="U57" s="6">
        <f t="shared" si="1"/>
        <v>8.1999999999999962E-2</v>
      </c>
    </row>
    <row r="58" spans="1:21" x14ac:dyDescent="0.3">
      <c r="A58" s="2" t="s">
        <v>75</v>
      </c>
      <c r="B58" s="2">
        <v>7</v>
      </c>
      <c r="C58" s="2" t="s">
        <v>79</v>
      </c>
      <c r="D58" s="2" t="s">
        <v>53</v>
      </c>
      <c r="E58" s="2">
        <v>6</v>
      </c>
      <c r="F58" s="2">
        <v>720</v>
      </c>
      <c r="G58" s="2">
        <v>10</v>
      </c>
      <c r="H58" s="2">
        <v>15</v>
      </c>
      <c r="I58" s="2">
        <v>40</v>
      </c>
      <c r="J58" s="3">
        <v>5.0000000000000001E-3</v>
      </c>
      <c r="K58" s="4">
        <v>42885</v>
      </c>
      <c r="L58" s="4">
        <v>402</v>
      </c>
      <c r="M58" s="4">
        <v>-1394</v>
      </c>
      <c r="N58" s="5">
        <v>-38.799999999999997</v>
      </c>
      <c r="O58" s="2">
        <v>34</v>
      </c>
      <c r="P58" s="2">
        <v>9</v>
      </c>
      <c r="Q58" s="2">
        <v>7</v>
      </c>
      <c r="R58" s="2">
        <v>18</v>
      </c>
      <c r="S58" s="6">
        <v>0.26500000000000001</v>
      </c>
      <c r="T58" s="6">
        <v>0.28499999999999998</v>
      </c>
      <c r="U58" s="6">
        <f t="shared" si="1"/>
        <v>-1.9999999999999962E-2</v>
      </c>
    </row>
    <row r="59" spans="1:21" x14ac:dyDescent="0.3">
      <c r="A59" s="2" t="s">
        <v>75</v>
      </c>
      <c r="B59" s="2">
        <v>8</v>
      </c>
      <c r="C59" s="2" t="s">
        <v>74</v>
      </c>
      <c r="D59" s="2" t="s">
        <v>61</v>
      </c>
      <c r="E59" s="2">
        <v>10</v>
      </c>
      <c r="F59" s="2">
        <v>1080</v>
      </c>
      <c r="G59" s="2">
        <v>20</v>
      </c>
      <c r="H59" s="2">
        <v>10</v>
      </c>
      <c r="I59" s="2">
        <v>30</v>
      </c>
      <c r="J59" s="3">
        <v>5.0000000000000001E-3</v>
      </c>
      <c r="K59" s="4">
        <v>42131</v>
      </c>
      <c r="L59" s="4">
        <v>-1760</v>
      </c>
      <c r="M59" s="4">
        <v>1453</v>
      </c>
      <c r="N59" s="5">
        <v>31.1</v>
      </c>
      <c r="O59" s="2">
        <v>27</v>
      </c>
      <c r="P59" s="2">
        <v>8</v>
      </c>
      <c r="Q59" s="2">
        <v>9</v>
      </c>
      <c r="R59" s="2">
        <v>10</v>
      </c>
      <c r="S59" s="6">
        <v>0.29599999999999999</v>
      </c>
      <c r="T59" s="6">
        <v>0.26800000000000002</v>
      </c>
      <c r="U59" s="6">
        <f t="shared" si="1"/>
        <v>2.7999999999999969E-2</v>
      </c>
    </row>
    <row r="60" spans="1:21" x14ac:dyDescent="0.3">
      <c r="A60" s="2" t="s">
        <v>75</v>
      </c>
      <c r="B60" s="2">
        <v>9</v>
      </c>
      <c r="C60" s="2" t="s">
        <v>80</v>
      </c>
      <c r="D60" s="2" t="s">
        <v>24</v>
      </c>
      <c r="E60" s="2">
        <v>750</v>
      </c>
      <c r="F60" s="2">
        <v>900</v>
      </c>
      <c r="G60" s="2">
        <v>10</v>
      </c>
      <c r="H60" s="2">
        <v>10</v>
      </c>
      <c r="I60" s="2">
        <v>30</v>
      </c>
      <c r="J60" s="3">
        <v>5.0000000000000001E-3</v>
      </c>
      <c r="K60" s="4">
        <v>41557</v>
      </c>
      <c r="L60" s="4">
        <v>-701</v>
      </c>
      <c r="M60" s="4">
        <v>11127</v>
      </c>
      <c r="N60" s="5">
        <v>214.8</v>
      </c>
      <c r="O60" s="2">
        <v>36</v>
      </c>
      <c r="P60" s="2">
        <v>15</v>
      </c>
      <c r="Q60" s="2">
        <v>5</v>
      </c>
      <c r="R60" s="2">
        <v>16</v>
      </c>
      <c r="S60" s="6">
        <v>0.41699999999999998</v>
      </c>
      <c r="T60" s="6">
        <v>0.26800000000000002</v>
      </c>
      <c r="U60" s="6">
        <f t="shared" si="1"/>
        <v>0.14899999999999997</v>
      </c>
    </row>
    <row r="61" spans="1:21" x14ac:dyDescent="0.3">
      <c r="A61" s="2" t="s">
        <v>75</v>
      </c>
      <c r="B61" s="2">
        <v>10</v>
      </c>
      <c r="C61" s="2" t="s">
        <v>38</v>
      </c>
      <c r="D61" s="2" t="s">
        <v>43</v>
      </c>
      <c r="E61" s="2">
        <v>1</v>
      </c>
      <c r="F61" s="2">
        <v>240</v>
      </c>
      <c r="G61" s="2">
        <v>40</v>
      </c>
      <c r="H61" s="2">
        <v>20</v>
      </c>
      <c r="I61" s="2">
        <v>60</v>
      </c>
      <c r="J61" s="3">
        <v>5.0000000000000001E-3</v>
      </c>
      <c r="K61" s="4">
        <v>41342</v>
      </c>
      <c r="L61" s="4">
        <v>6253</v>
      </c>
      <c r="M61" s="4">
        <v>1138</v>
      </c>
      <c r="N61" s="5">
        <v>48.1</v>
      </c>
      <c r="O61" s="2">
        <v>17</v>
      </c>
      <c r="P61" s="2">
        <v>5</v>
      </c>
      <c r="Q61" s="2">
        <v>2</v>
      </c>
      <c r="R61" s="2">
        <v>10</v>
      </c>
      <c r="S61" s="6">
        <v>0.29399999999999998</v>
      </c>
      <c r="T61" s="6">
        <v>0.25900000000000001</v>
      </c>
      <c r="U61" s="6">
        <f t="shared" si="1"/>
        <v>3.4999999999999976E-2</v>
      </c>
    </row>
    <row r="62" spans="1:21" x14ac:dyDescent="0.3">
      <c r="A62" s="2" t="s">
        <v>81</v>
      </c>
      <c r="B62" s="2">
        <v>1</v>
      </c>
      <c r="C62" s="2" t="s">
        <v>76</v>
      </c>
      <c r="D62" s="2" t="s">
        <v>30</v>
      </c>
      <c r="E62" s="2">
        <v>5</v>
      </c>
      <c r="F62" s="2">
        <v>330</v>
      </c>
      <c r="G62" s="2">
        <v>20</v>
      </c>
      <c r="H62" s="2">
        <v>10</v>
      </c>
      <c r="I62" s="2">
        <v>30</v>
      </c>
      <c r="J62" s="3">
        <v>5.0000000000000001E-3</v>
      </c>
      <c r="K62" s="4">
        <v>64266</v>
      </c>
      <c r="L62" s="4">
        <v>8600</v>
      </c>
      <c r="M62" s="4">
        <v>-1008</v>
      </c>
      <c r="N62" s="5">
        <v>-17.3</v>
      </c>
      <c r="O62" s="2">
        <v>39</v>
      </c>
      <c r="P62" s="2">
        <v>10</v>
      </c>
      <c r="Q62" s="2">
        <v>10</v>
      </c>
      <c r="R62" s="2">
        <v>19</v>
      </c>
      <c r="S62" s="6">
        <v>0.25600000000000001</v>
      </c>
      <c r="T62" s="6">
        <v>0.26800000000000002</v>
      </c>
      <c r="U62" s="6">
        <f t="shared" si="1"/>
        <v>-1.2000000000000011E-2</v>
      </c>
    </row>
    <row r="63" spans="1:21" x14ac:dyDescent="0.3">
      <c r="A63" s="2" t="s">
        <v>81</v>
      </c>
      <c r="B63" s="2">
        <v>2</v>
      </c>
      <c r="C63" s="2" t="s">
        <v>80</v>
      </c>
      <c r="D63" s="2" t="s">
        <v>24</v>
      </c>
      <c r="E63" s="2">
        <v>750</v>
      </c>
      <c r="F63" s="2">
        <v>900</v>
      </c>
      <c r="G63" s="2">
        <v>10</v>
      </c>
      <c r="H63" s="2">
        <v>10</v>
      </c>
      <c r="I63" s="2">
        <v>30</v>
      </c>
      <c r="J63" s="3">
        <v>5.0000000000000001E-3</v>
      </c>
      <c r="K63" s="4">
        <v>57326</v>
      </c>
      <c r="L63" s="4">
        <v>11127</v>
      </c>
      <c r="M63" s="4">
        <v>-5087</v>
      </c>
      <c r="N63" s="5">
        <v>-102.4</v>
      </c>
      <c r="O63" s="2">
        <v>32</v>
      </c>
      <c r="P63" s="2">
        <v>6</v>
      </c>
      <c r="Q63" s="2">
        <v>5</v>
      </c>
      <c r="R63" s="2">
        <v>21</v>
      </c>
      <c r="S63" s="6">
        <v>0.188</v>
      </c>
      <c r="T63" s="6">
        <v>0.26800000000000002</v>
      </c>
      <c r="U63" s="6">
        <f t="shared" si="1"/>
        <v>-8.0000000000000016E-2</v>
      </c>
    </row>
    <row r="64" spans="1:21" x14ac:dyDescent="0.3">
      <c r="A64" s="2" t="s">
        <v>81</v>
      </c>
      <c r="B64" s="2">
        <v>3</v>
      </c>
      <c r="C64" s="2" t="s">
        <v>82</v>
      </c>
      <c r="D64" s="2" t="s">
        <v>30</v>
      </c>
      <c r="E64" s="2">
        <v>3</v>
      </c>
      <c r="F64" s="2">
        <v>330</v>
      </c>
      <c r="G64" s="2">
        <v>20</v>
      </c>
      <c r="H64" s="2">
        <v>10</v>
      </c>
      <c r="I64" s="2">
        <v>30</v>
      </c>
      <c r="J64" s="3">
        <v>5.0000000000000001E-3</v>
      </c>
      <c r="K64" s="4">
        <v>57122</v>
      </c>
      <c r="L64" s="4">
        <v>11207</v>
      </c>
      <c r="M64" s="4">
        <v>-2064</v>
      </c>
      <c r="N64" s="5">
        <v>-38.700000000000003</v>
      </c>
      <c r="O64" s="2">
        <v>41</v>
      </c>
      <c r="P64" s="2">
        <v>10</v>
      </c>
      <c r="Q64" s="2">
        <v>9</v>
      </c>
      <c r="R64" s="2">
        <v>22</v>
      </c>
      <c r="S64" s="6">
        <v>0.24399999999999999</v>
      </c>
      <c r="T64" s="6">
        <v>0.26800000000000002</v>
      </c>
      <c r="U64" s="6">
        <f t="shared" si="1"/>
        <v>-2.4000000000000021E-2</v>
      </c>
    </row>
    <row r="65" spans="1:21" x14ac:dyDescent="0.3">
      <c r="A65" s="2" t="s">
        <v>81</v>
      </c>
      <c r="B65" s="2">
        <v>4</v>
      </c>
      <c r="C65" s="2" t="s">
        <v>50</v>
      </c>
      <c r="D65" s="2" t="s">
        <v>78</v>
      </c>
      <c r="E65" s="2">
        <v>810</v>
      </c>
      <c r="F65" s="2">
        <v>1560</v>
      </c>
      <c r="G65" s="2">
        <v>30</v>
      </c>
      <c r="H65" s="2">
        <v>10</v>
      </c>
      <c r="I65" s="2">
        <v>30</v>
      </c>
      <c r="J65" s="3">
        <v>5.0000000000000001E-3</v>
      </c>
      <c r="K65" s="4">
        <v>51670</v>
      </c>
      <c r="L65" s="4">
        <v>3259</v>
      </c>
      <c r="M65" s="4">
        <v>-3248</v>
      </c>
      <c r="N65" s="5">
        <v>-64.7</v>
      </c>
      <c r="O65" s="2">
        <v>21</v>
      </c>
      <c r="P65" s="2">
        <v>4</v>
      </c>
      <c r="Q65" s="2">
        <v>9</v>
      </c>
      <c r="R65" s="2">
        <v>8</v>
      </c>
      <c r="S65" s="6">
        <v>0.19</v>
      </c>
      <c r="T65" s="6">
        <v>0.26800000000000002</v>
      </c>
      <c r="U65" s="6">
        <f t="shared" si="1"/>
        <v>-7.8000000000000014E-2</v>
      </c>
    </row>
    <row r="66" spans="1:21" x14ac:dyDescent="0.3">
      <c r="A66" s="2" t="s">
        <v>81</v>
      </c>
      <c r="B66" s="2">
        <v>5</v>
      </c>
      <c r="C66" s="2" t="s">
        <v>83</v>
      </c>
      <c r="D66" s="2" t="s">
        <v>30</v>
      </c>
      <c r="E66" s="2">
        <v>4</v>
      </c>
      <c r="F66" s="2">
        <v>330</v>
      </c>
      <c r="G66" s="2">
        <v>20</v>
      </c>
      <c r="H66" s="2">
        <v>10</v>
      </c>
      <c r="I66" s="2">
        <v>30</v>
      </c>
      <c r="J66" s="3">
        <v>5.0000000000000001E-3</v>
      </c>
      <c r="K66" s="4">
        <v>51223</v>
      </c>
      <c r="L66" s="4">
        <v>6866</v>
      </c>
      <c r="M66" s="4">
        <v>-2959</v>
      </c>
      <c r="N66" s="5">
        <v>-57.3</v>
      </c>
      <c r="O66" s="2">
        <v>39</v>
      </c>
      <c r="P66" s="2">
        <v>9</v>
      </c>
      <c r="Q66" s="2">
        <v>10</v>
      </c>
      <c r="R66" s="2">
        <v>20</v>
      </c>
      <c r="S66" s="6">
        <v>0.23100000000000001</v>
      </c>
      <c r="T66" s="6">
        <v>0.26800000000000002</v>
      </c>
      <c r="U66" s="6">
        <f t="shared" ref="U66:U97" si="2">S66-T66</f>
        <v>-3.7000000000000005E-2</v>
      </c>
    </row>
    <row r="67" spans="1:21" x14ac:dyDescent="0.3">
      <c r="A67" s="2" t="s">
        <v>81</v>
      </c>
      <c r="B67" s="2">
        <v>6</v>
      </c>
      <c r="C67" s="2" t="s">
        <v>23</v>
      </c>
      <c r="D67" s="2" t="s">
        <v>84</v>
      </c>
      <c r="E67" s="2">
        <v>660</v>
      </c>
      <c r="F67" s="2">
        <v>1320</v>
      </c>
      <c r="G67" s="2">
        <v>10</v>
      </c>
      <c r="H67" s="2">
        <v>10</v>
      </c>
      <c r="I67" s="2">
        <v>30</v>
      </c>
      <c r="J67" s="3">
        <v>5.0000000000000001E-3</v>
      </c>
      <c r="K67" s="4">
        <v>49535</v>
      </c>
      <c r="L67" s="4">
        <v>4609</v>
      </c>
      <c r="M67" s="4">
        <v>10282</v>
      </c>
      <c r="N67" s="5">
        <v>199</v>
      </c>
      <c r="O67" s="2">
        <v>30</v>
      </c>
      <c r="P67" s="2">
        <v>13</v>
      </c>
      <c r="Q67" s="2">
        <v>1</v>
      </c>
      <c r="R67" s="2">
        <v>16</v>
      </c>
      <c r="S67" s="6">
        <v>0.433</v>
      </c>
      <c r="T67" s="6">
        <v>0.26800000000000002</v>
      </c>
      <c r="U67" s="6">
        <f t="shared" si="2"/>
        <v>0.16499999999999998</v>
      </c>
    </row>
    <row r="68" spans="1:21" x14ac:dyDescent="0.3">
      <c r="A68" s="2" t="s">
        <v>81</v>
      </c>
      <c r="B68" s="2">
        <v>7</v>
      </c>
      <c r="C68" s="2" t="s">
        <v>74</v>
      </c>
      <c r="D68" s="2" t="s">
        <v>61</v>
      </c>
      <c r="E68" s="2">
        <v>10</v>
      </c>
      <c r="F68" s="2">
        <v>1080</v>
      </c>
      <c r="G68" s="2">
        <v>20</v>
      </c>
      <c r="H68" s="2">
        <v>10</v>
      </c>
      <c r="I68" s="2">
        <v>30</v>
      </c>
      <c r="J68" s="3">
        <v>5.0000000000000001E-3</v>
      </c>
      <c r="K68" s="4">
        <v>48806</v>
      </c>
      <c r="L68" s="4">
        <v>1453</v>
      </c>
      <c r="M68" s="4">
        <v>-547</v>
      </c>
      <c r="N68" s="5">
        <v>-8.9</v>
      </c>
      <c r="O68" s="2">
        <v>27</v>
      </c>
      <c r="P68" s="2">
        <v>7</v>
      </c>
      <c r="Q68" s="2">
        <v>10</v>
      </c>
      <c r="R68" s="2">
        <v>10</v>
      </c>
      <c r="S68" s="6">
        <v>0.25900000000000001</v>
      </c>
      <c r="T68" s="6">
        <v>0.26800000000000002</v>
      </c>
      <c r="U68" s="6">
        <f t="shared" si="2"/>
        <v>-9.000000000000008E-3</v>
      </c>
    </row>
    <row r="69" spans="1:21" x14ac:dyDescent="0.3">
      <c r="A69" s="2" t="s">
        <v>81</v>
      </c>
      <c r="B69" s="2">
        <v>8</v>
      </c>
      <c r="C69" s="2" t="s">
        <v>30</v>
      </c>
      <c r="D69" s="2" t="s">
        <v>57</v>
      </c>
      <c r="E69" s="2">
        <v>330</v>
      </c>
      <c r="F69" s="2">
        <v>420</v>
      </c>
      <c r="G69" s="2">
        <v>10</v>
      </c>
      <c r="H69" s="2">
        <v>20</v>
      </c>
      <c r="I69" s="2">
        <v>60</v>
      </c>
      <c r="J69" s="3">
        <v>5.0000000000000001E-3</v>
      </c>
      <c r="K69" s="4">
        <v>47666</v>
      </c>
      <c r="L69" s="4">
        <v>-2634</v>
      </c>
      <c r="M69" s="4">
        <v>-3056</v>
      </c>
      <c r="N69" s="5">
        <v>-120.3</v>
      </c>
      <c r="O69" s="2">
        <v>29</v>
      </c>
      <c r="P69" s="2">
        <v>6</v>
      </c>
      <c r="Q69" s="2">
        <v>9</v>
      </c>
      <c r="R69" s="2">
        <v>14</v>
      </c>
      <c r="S69" s="6">
        <v>0.20699999999999999</v>
      </c>
      <c r="T69" s="6">
        <v>0.25900000000000001</v>
      </c>
      <c r="U69" s="6">
        <f t="shared" si="2"/>
        <v>-5.2000000000000018E-2</v>
      </c>
    </row>
    <row r="70" spans="1:21" x14ac:dyDescent="0.3">
      <c r="A70" s="2" t="s">
        <v>81</v>
      </c>
      <c r="B70" s="2">
        <v>9</v>
      </c>
      <c r="C70" s="2" t="s">
        <v>85</v>
      </c>
      <c r="D70" s="2" t="s">
        <v>30</v>
      </c>
      <c r="E70" s="2">
        <v>2</v>
      </c>
      <c r="F70" s="2">
        <v>330</v>
      </c>
      <c r="G70" s="2">
        <v>20</v>
      </c>
      <c r="H70" s="2">
        <v>10</v>
      </c>
      <c r="I70" s="2">
        <v>30</v>
      </c>
      <c r="J70" s="3">
        <v>5.0000000000000001E-3</v>
      </c>
      <c r="K70" s="4">
        <v>46538</v>
      </c>
      <c r="L70" s="4">
        <v>9431</v>
      </c>
      <c r="M70" s="4">
        <v>-5887</v>
      </c>
      <c r="N70" s="5">
        <v>-118.7</v>
      </c>
      <c r="O70" s="2">
        <v>41</v>
      </c>
      <c r="P70" s="2">
        <v>8</v>
      </c>
      <c r="Q70" s="2">
        <v>9</v>
      </c>
      <c r="R70" s="2">
        <v>24</v>
      </c>
      <c r="S70" s="6">
        <v>0.19500000000000001</v>
      </c>
      <c r="T70" s="6">
        <v>0.26800000000000002</v>
      </c>
      <c r="U70" s="6">
        <f t="shared" si="2"/>
        <v>-7.3000000000000009E-2</v>
      </c>
    </row>
    <row r="71" spans="1:21" x14ac:dyDescent="0.3">
      <c r="A71" s="2" t="s">
        <v>81</v>
      </c>
      <c r="B71" s="2">
        <v>10</v>
      </c>
      <c r="C71" s="2" t="s">
        <v>22</v>
      </c>
      <c r="D71" s="2" t="s">
        <v>63</v>
      </c>
      <c r="E71" s="2">
        <v>150</v>
      </c>
      <c r="F71" s="2">
        <v>1470</v>
      </c>
      <c r="G71" s="2">
        <v>15</v>
      </c>
      <c r="H71" s="2">
        <v>10</v>
      </c>
      <c r="I71" s="2">
        <v>30</v>
      </c>
      <c r="J71" s="3">
        <v>5.0000000000000001E-3</v>
      </c>
      <c r="K71" s="4">
        <v>46465</v>
      </c>
      <c r="L71" s="4">
        <v>7121</v>
      </c>
      <c r="M71" s="4">
        <v>-1983</v>
      </c>
      <c r="N71" s="5">
        <v>-38.200000000000003</v>
      </c>
      <c r="O71" s="2">
        <v>26</v>
      </c>
      <c r="P71" s="2">
        <v>6</v>
      </c>
      <c r="Q71" s="2">
        <v>7</v>
      </c>
      <c r="R71" s="2">
        <v>13</v>
      </c>
      <c r="S71" s="6">
        <v>0.23100000000000001</v>
      </c>
      <c r="T71" s="6">
        <v>0.26800000000000002</v>
      </c>
      <c r="U71" s="6">
        <f t="shared" si="2"/>
        <v>-3.7000000000000005E-2</v>
      </c>
    </row>
    <row r="72" spans="1:21" x14ac:dyDescent="0.3">
      <c r="A72" s="2" t="s">
        <v>86</v>
      </c>
      <c r="B72" s="2">
        <v>1</v>
      </c>
      <c r="C72" s="2" t="s">
        <v>23</v>
      </c>
      <c r="D72" s="2" t="s">
        <v>84</v>
      </c>
      <c r="E72" s="2">
        <v>660</v>
      </c>
      <c r="F72" s="2">
        <v>1320</v>
      </c>
      <c r="G72" s="2">
        <v>10</v>
      </c>
      <c r="H72" s="2">
        <v>10</v>
      </c>
      <c r="I72" s="2">
        <v>30</v>
      </c>
      <c r="J72" s="3">
        <v>5.0000000000000001E-3</v>
      </c>
      <c r="K72" s="4">
        <v>60068</v>
      </c>
      <c r="L72" s="4">
        <v>10282</v>
      </c>
      <c r="M72" s="4">
        <v>-3248</v>
      </c>
      <c r="N72" s="5">
        <v>-64.7</v>
      </c>
      <c r="O72" s="2">
        <v>21</v>
      </c>
      <c r="P72" s="2">
        <v>4</v>
      </c>
      <c r="Q72" s="2">
        <v>3</v>
      </c>
      <c r="R72" s="2">
        <v>14</v>
      </c>
      <c r="S72" s="6">
        <v>0.19</v>
      </c>
      <c r="T72" s="6">
        <v>0.26800000000000002</v>
      </c>
      <c r="U72" s="6">
        <f t="shared" si="2"/>
        <v>-7.8000000000000014E-2</v>
      </c>
    </row>
    <row r="73" spans="1:21" x14ac:dyDescent="0.3">
      <c r="A73" s="2" t="s">
        <v>86</v>
      </c>
      <c r="B73" s="2">
        <v>2</v>
      </c>
      <c r="C73" s="2" t="s">
        <v>64</v>
      </c>
      <c r="D73" s="2" t="s">
        <v>37</v>
      </c>
      <c r="E73" s="2">
        <v>60</v>
      </c>
      <c r="F73" s="2">
        <v>480</v>
      </c>
      <c r="G73" s="2">
        <v>10</v>
      </c>
      <c r="H73" s="2">
        <v>10</v>
      </c>
      <c r="I73" s="2">
        <v>30</v>
      </c>
      <c r="J73" s="3">
        <v>5.0000000000000001E-3</v>
      </c>
      <c r="K73" s="4">
        <v>56227</v>
      </c>
      <c r="L73" s="4">
        <v>14666</v>
      </c>
      <c r="M73" s="4">
        <v>-250</v>
      </c>
      <c r="N73" s="5">
        <v>-1.5</v>
      </c>
      <c r="O73" s="2">
        <v>45</v>
      </c>
      <c r="P73" s="2">
        <v>12</v>
      </c>
      <c r="Q73" s="2">
        <v>10</v>
      </c>
      <c r="R73" s="2">
        <v>23</v>
      </c>
      <c r="S73" s="6">
        <v>0.26700000000000002</v>
      </c>
      <c r="T73" s="6">
        <v>0.26800000000000002</v>
      </c>
      <c r="U73" s="6">
        <f t="shared" si="2"/>
        <v>-1.0000000000000009E-3</v>
      </c>
    </row>
    <row r="74" spans="1:21" x14ac:dyDescent="0.3">
      <c r="A74" s="2" t="s">
        <v>86</v>
      </c>
      <c r="B74" s="2">
        <v>3</v>
      </c>
      <c r="C74" s="2" t="s">
        <v>43</v>
      </c>
      <c r="D74" s="2" t="s">
        <v>84</v>
      </c>
      <c r="E74" s="2">
        <v>240</v>
      </c>
      <c r="F74" s="2">
        <v>1320</v>
      </c>
      <c r="G74" s="2">
        <v>20</v>
      </c>
      <c r="H74" s="2">
        <v>25</v>
      </c>
      <c r="I74" s="2">
        <v>70</v>
      </c>
      <c r="J74" s="3">
        <v>5.0000000000000001E-3</v>
      </c>
      <c r="K74" s="4">
        <v>52290</v>
      </c>
      <c r="L74" s="4">
        <v>8242</v>
      </c>
      <c r="M74" s="4">
        <v>-1527</v>
      </c>
      <c r="N74" s="5">
        <v>-74.8</v>
      </c>
      <c r="O74" s="2">
        <v>14</v>
      </c>
      <c r="P74" s="2">
        <v>3</v>
      </c>
      <c r="Q74" s="2">
        <v>3</v>
      </c>
      <c r="R74" s="2">
        <v>8</v>
      </c>
      <c r="S74" s="6">
        <v>0.214</v>
      </c>
      <c r="T74" s="6">
        <v>0.27100000000000002</v>
      </c>
      <c r="U74" s="6">
        <f t="shared" si="2"/>
        <v>-5.7000000000000023E-2</v>
      </c>
    </row>
    <row r="75" spans="1:21" x14ac:dyDescent="0.3">
      <c r="A75" s="2" t="s">
        <v>86</v>
      </c>
      <c r="B75" s="2">
        <v>4</v>
      </c>
      <c r="C75" s="2" t="s">
        <v>76</v>
      </c>
      <c r="D75" s="2" t="s">
        <v>30</v>
      </c>
      <c r="E75" s="2">
        <v>5</v>
      </c>
      <c r="F75" s="2">
        <v>330</v>
      </c>
      <c r="G75" s="2">
        <v>20</v>
      </c>
      <c r="H75" s="2">
        <v>10</v>
      </c>
      <c r="I75" s="2">
        <v>30</v>
      </c>
      <c r="J75" s="3">
        <v>5.0000000000000001E-3</v>
      </c>
      <c r="K75" s="4">
        <v>51910</v>
      </c>
      <c r="L75" s="4">
        <v>-1008</v>
      </c>
      <c r="M75" s="4">
        <v>8354</v>
      </c>
      <c r="N75" s="5">
        <v>164.1</v>
      </c>
      <c r="O75" s="2">
        <v>37</v>
      </c>
      <c r="P75" s="2">
        <v>14</v>
      </c>
      <c r="Q75" s="2">
        <v>12</v>
      </c>
      <c r="R75" s="2">
        <v>11</v>
      </c>
      <c r="S75" s="6">
        <v>0.37799999999999989</v>
      </c>
      <c r="T75" s="6">
        <v>0.26800000000000002</v>
      </c>
      <c r="U75" s="6">
        <f t="shared" si="2"/>
        <v>0.10999999999999988</v>
      </c>
    </row>
    <row r="76" spans="1:21" x14ac:dyDescent="0.3">
      <c r="A76" s="2" t="s">
        <v>86</v>
      </c>
      <c r="B76" s="2">
        <v>5</v>
      </c>
      <c r="C76" s="2" t="s">
        <v>43</v>
      </c>
      <c r="D76" s="2" t="s">
        <v>84</v>
      </c>
      <c r="E76" s="2">
        <v>240</v>
      </c>
      <c r="F76" s="2">
        <v>1320</v>
      </c>
      <c r="G76" s="2">
        <v>20</v>
      </c>
      <c r="H76" s="2">
        <v>25</v>
      </c>
      <c r="I76" s="2">
        <v>60</v>
      </c>
      <c r="J76" s="3">
        <v>5.0000000000000001E-3</v>
      </c>
      <c r="K76" s="4">
        <v>50155</v>
      </c>
      <c r="L76" s="4">
        <v>5998</v>
      </c>
      <c r="M76" s="4">
        <v>-2109</v>
      </c>
      <c r="N76" s="5">
        <v>-104.8</v>
      </c>
      <c r="O76" s="2">
        <v>14</v>
      </c>
      <c r="P76" s="2">
        <v>3</v>
      </c>
      <c r="Q76" s="2">
        <v>4</v>
      </c>
      <c r="R76" s="2">
        <v>7</v>
      </c>
      <c r="S76" s="6">
        <v>0.214</v>
      </c>
      <c r="T76" s="6">
        <v>0.30199999999999999</v>
      </c>
      <c r="U76" s="6">
        <f t="shared" si="2"/>
        <v>-8.7999999999999995E-2</v>
      </c>
    </row>
    <row r="77" spans="1:21" x14ac:dyDescent="0.3">
      <c r="A77" s="2" t="s">
        <v>86</v>
      </c>
      <c r="B77" s="2">
        <v>6</v>
      </c>
      <c r="C77" s="2" t="s">
        <v>50</v>
      </c>
      <c r="D77" s="2" t="s">
        <v>78</v>
      </c>
      <c r="E77" s="2">
        <v>810</v>
      </c>
      <c r="F77" s="2">
        <v>1560</v>
      </c>
      <c r="G77" s="2">
        <v>30</v>
      </c>
      <c r="H77" s="2">
        <v>10</v>
      </c>
      <c r="I77" s="2">
        <v>30</v>
      </c>
      <c r="J77" s="3">
        <v>5.0000000000000001E-3</v>
      </c>
      <c r="K77" s="4">
        <v>49355</v>
      </c>
      <c r="L77" s="4">
        <v>-3248</v>
      </c>
      <c r="M77" s="4">
        <v>-3983</v>
      </c>
      <c r="N77" s="5">
        <v>-80.5</v>
      </c>
      <c r="O77" s="2">
        <v>15</v>
      </c>
      <c r="P77" s="2">
        <v>2</v>
      </c>
      <c r="Q77" s="2">
        <v>3</v>
      </c>
      <c r="R77" s="2">
        <v>10</v>
      </c>
      <c r="S77" s="6">
        <v>0.13300000000000001</v>
      </c>
      <c r="T77" s="6">
        <v>0.26800000000000002</v>
      </c>
      <c r="U77" s="6">
        <f t="shared" si="2"/>
        <v>-0.13500000000000001</v>
      </c>
    </row>
    <row r="78" spans="1:21" x14ac:dyDescent="0.3">
      <c r="A78" s="2" t="s">
        <v>86</v>
      </c>
      <c r="B78" s="2">
        <v>7</v>
      </c>
      <c r="C78" s="2" t="s">
        <v>64</v>
      </c>
      <c r="D78" s="2" t="s">
        <v>87</v>
      </c>
      <c r="E78" s="2">
        <v>60</v>
      </c>
      <c r="F78" s="2">
        <v>540</v>
      </c>
      <c r="G78" s="2">
        <v>10</v>
      </c>
      <c r="H78" s="2">
        <v>10</v>
      </c>
      <c r="I78" s="2">
        <v>30</v>
      </c>
      <c r="J78" s="3">
        <v>5.0000000000000001E-3</v>
      </c>
      <c r="K78" s="4">
        <v>48881</v>
      </c>
      <c r="L78" s="4">
        <v>9015</v>
      </c>
      <c r="M78" s="4">
        <v>-2216</v>
      </c>
      <c r="N78" s="5">
        <v>-41.5</v>
      </c>
      <c r="O78" s="2">
        <v>45</v>
      </c>
      <c r="P78" s="2">
        <v>11</v>
      </c>
      <c r="Q78" s="2">
        <v>11</v>
      </c>
      <c r="R78" s="2">
        <v>23</v>
      </c>
      <c r="S78" s="6">
        <v>0.24399999999999999</v>
      </c>
      <c r="T78" s="6">
        <v>0.26800000000000002</v>
      </c>
      <c r="U78" s="6">
        <f t="shared" si="2"/>
        <v>-2.4000000000000021E-2</v>
      </c>
    </row>
    <row r="79" spans="1:21" x14ac:dyDescent="0.3">
      <c r="A79" s="2" t="s">
        <v>86</v>
      </c>
      <c r="B79" s="2">
        <v>8</v>
      </c>
      <c r="C79" s="2" t="s">
        <v>22</v>
      </c>
      <c r="D79" s="2" t="s">
        <v>63</v>
      </c>
      <c r="E79" s="2">
        <v>150</v>
      </c>
      <c r="F79" s="2">
        <v>1470</v>
      </c>
      <c r="G79" s="2">
        <v>15</v>
      </c>
      <c r="H79" s="2">
        <v>10</v>
      </c>
      <c r="I79" s="2">
        <v>30</v>
      </c>
      <c r="J79" s="3">
        <v>5.0000000000000001E-3</v>
      </c>
      <c r="K79" s="4">
        <v>46570</v>
      </c>
      <c r="L79" s="4">
        <v>-1983</v>
      </c>
      <c r="M79" s="4">
        <v>-2356</v>
      </c>
      <c r="N79" s="5">
        <v>-46.1</v>
      </c>
      <c r="O79" s="2">
        <v>23</v>
      </c>
      <c r="P79" s="2">
        <v>5</v>
      </c>
      <c r="Q79" s="2">
        <v>5</v>
      </c>
      <c r="R79" s="2">
        <v>13</v>
      </c>
      <c r="S79" s="6">
        <v>0.217</v>
      </c>
      <c r="T79" s="6">
        <v>0.26800000000000002</v>
      </c>
      <c r="U79" s="6">
        <f t="shared" si="2"/>
        <v>-5.1000000000000018E-2</v>
      </c>
    </row>
    <row r="80" spans="1:21" x14ac:dyDescent="0.3">
      <c r="A80" s="2" t="s">
        <v>86</v>
      </c>
      <c r="B80" s="2">
        <v>9</v>
      </c>
      <c r="C80" s="2" t="s">
        <v>80</v>
      </c>
      <c r="D80" s="2" t="s">
        <v>24</v>
      </c>
      <c r="E80" s="2">
        <v>750</v>
      </c>
      <c r="F80" s="2">
        <v>900</v>
      </c>
      <c r="G80" s="2">
        <v>10</v>
      </c>
      <c r="H80" s="2">
        <v>10</v>
      </c>
      <c r="I80" s="2">
        <v>30</v>
      </c>
      <c r="J80" s="3">
        <v>5.0000000000000001E-3</v>
      </c>
      <c r="K80" s="4">
        <v>45944</v>
      </c>
      <c r="L80" s="4">
        <v>-5087</v>
      </c>
      <c r="M80" s="4">
        <v>754</v>
      </c>
      <c r="N80" s="5">
        <v>17.600000000000001</v>
      </c>
      <c r="O80" s="2">
        <v>32</v>
      </c>
      <c r="P80" s="2">
        <v>9</v>
      </c>
      <c r="Q80" s="2">
        <v>8</v>
      </c>
      <c r="R80" s="2">
        <v>15</v>
      </c>
      <c r="S80" s="6">
        <v>0.28100000000000003</v>
      </c>
      <c r="T80" s="6">
        <v>0.26800000000000002</v>
      </c>
      <c r="U80" s="6">
        <f t="shared" si="2"/>
        <v>1.3000000000000012E-2</v>
      </c>
    </row>
    <row r="81" spans="1:21" x14ac:dyDescent="0.3">
      <c r="A81" s="2" t="s">
        <v>86</v>
      </c>
      <c r="B81" s="2">
        <v>10</v>
      </c>
      <c r="C81" s="2" t="s">
        <v>30</v>
      </c>
      <c r="D81" s="2" t="s">
        <v>57</v>
      </c>
      <c r="E81" s="2">
        <v>330</v>
      </c>
      <c r="F81" s="2">
        <v>420</v>
      </c>
      <c r="G81" s="2">
        <v>10</v>
      </c>
      <c r="H81" s="2">
        <v>20</v>
      </c>
      <c r="I81" s="2">
        <v>60</v>
      </c>
      <c r="J81" s="3">
        <v>5.0000000000000001E-3</v>
      </c>
      <c r="K81" s="4">
        <v>44892</v>
      </c>
      <c r="L81" s="4">
        <v>-3056</v>
      </c>
      <c r="M81" s="4">
        <v>-4472</v>
      </c>
      <c r="N81" s="5">
        <v>-179.6</v>
      </c>
      <c r="O81" s="2">
        <v>28</v>
      </c>
      <c r="P81" s="2">
        <v>5</v>
      </c>
      <c r="Q81" s="2">
        <v>9</v>
      </c>
      <c r="R81" s="2">
        <v>14</v>
      </c>
      <c r="S81" s="6">
        <v>0.17899999999999999</v>
      </c>
      <c r="T81" s="6">
        <v>0.25900000000000001</v>
      </c>
      <c r="U81" s="6">
        <f t="shared" si="2"/>
        <v>-8.0000000000000016E-2</v>
      </c>
    </row>
    <row r="82" spans="1:21" x14ac:dyDescent="0.3">
      <c r="A82" s="2" t="s">
        <v>88</v>
      </c>
      <c r="B82" s="2">
        <v>1</v>
      </c>
      <c r="C82" s="2" t="s">
        <v>76</v>
      </c>
      <c r="D82" s="2" t="s">
        <v>30</v>
      </c>
      <c r="E82" s="2">
        <v>5</v>
      </c>
      <c r="F82" s="2">
        <v>330</v>
      </c>
      <c r="G82" s="2">
        <v>20</v>
      </c>
      <c r="H82" s="2">
        <v>10</v>
      </c>
      <c r="I82" s="2">
        <v>30</v>
      </c>
      <c r="J82" s="3">
        <v>5.0000000000000001E-3</v>
      </c>
      <c r="K82" s="4">
        <v>58193</v>
      </c>
      <c r="L82" s="4">
        <v>8354</v>
      </c>
      <c r="M82" s="4">
        <v>1139</v>
      </c>
      <c r="N82" s="5">
        <v>25.5</v>
      </c>
      <c r="O82" s="2">
        <v>35</v>
      </c>
      <c r="P82" s="2">
        <v>10</v>
      </c>
      <c r="Q82" s="2">
        <v>5</v>
      </c>
      <c r="R82" s="2">
        <v>20</v>
      </c>
      <c r="S82" s="6">
        <v>0.28599999999999998</v>
      </c>
      <c r="T82" s="6">
        <v>0.26800000000000002</v>
      </c>
      <c r="U82" s="6">
        <f t="shared" si="2"/>
        <v>1.799999999999996E-2</v>
      </c>
    </row>
    <row r="83" spans="1:21" x14ac:dyDescent="0.3">
      <c r="A83" s="2" t="s">
        <v>88</v>
      </c>
      <c r="B83" s="2">
        <v>2</v>
      </c>
      <c r="C83" s="2" t="s">
        <v>64</v>
      </c>
      <c r="D83" s="2" t="s">
        <v>37</v>
      </c>
      <c r="E83" s="2">
        <v>60</v>
      </c>
      <c r="F83" s="2">
        <v>480</v>
      </c>
      <c r="G83" s="2">
        <v>10</v>
      </c>
      <c r="H83" s="2">
        <v>10</v>
      </c>
      <c r="I83" s="2">
        <v>30</v>
      </c>
      <c r="J83" s="3">
        <v>5.0000000000000001E-3</v>
      </c>
      <c r="K83" s="4">
        <v>53843</v>
      </c>
      <c r="L83" s="4">
        <v>-250</v>
      </c>
      <c r="M83" s="4">
        <v>-3259</v>
      </c>
      <c r="N83" s="5">
        <v>-62.9</v>
      </c>
      <c r="O83" s="2">
        <v>47</v>
      </c>
      <c r="P83" s="2">
        <v>11</v>
      </c>
      <c r="Q83" s="2">
        <v>16</v>
      </c>
      <c r="R83" s="2">
        <v>20</v>
      </c>
      <c r="S83" s="6">
        <v>0.23400000000000001</v>
      </c>
      <c r="T83" s="6">
        <v>0.26800000000000002</v>
      </c>
      <c r="U83" s="6">
        <f t="shared" si="2"/>
        <v>-3.4000000000000002E-2</v>
      </c>
    </row>
    <row r="84" spans="1:21" x14ac:dyDescent="0.3">
      <c r="A84" s="2" t="s">
        <v>88</v>
      </c>
      <c r="B84" s="2">
        <v>3</v>
      </c>
      <c r="C84" s="2" t="s">
        <v>43</v>
      </c>
      <c r="D84" s="2" t="s">
        <v>84</v>
      </c>
      <c r="E84" s="2">
        <v>240</v>
      </c>
      <c r="F84" s="2">
        <v>1320</v>
      </c>
      <c r="G84" s="2">
        <v>20</v>
      </c>
      <c r="H84" s="2">
        <v>25</v>
      </c>
      <c r="I84" s="2">
        <v>70</v>
      </c>
      <c r="J84" s="3">
        <v>5.0000000000000001E-3</v>
      </c>
      <c r="K84" s="4">
        <v>53607</v>
      </c>
      <c r="L84" s="4">
        <v>-1527</v>
      </c>
      <c r="M84" s="4">
        <v>-163</v>
      </c>
      <c r="N84" s="5">
        <v>-5.5</v>
      </c>
      <c r="O84" s="2">
        <v>15</v>
      </c>
      <c r="P84" s="2">
        <v>4</v>
      </c>
      <c r="Q84" s="2">
        <v>3</v>
      </c>
      <c r="R84" s="2">
        <v>8</v>
      </c>
      <c r="S84" s="6">
        <v>0.26700000000000002</v>
      </c>
      <c r="T84" s="6">
        <v>0.27100000000000002</v>
      </c>
      <c r="U84" s="6">
        <f t="shared" si="2"/>
        <v>-4.0000000000000036E-3</v>
      </c>
    </row>
    <row r="85" spans="1:21" x14ac:dyDescent="0.3">
      <c r="A85" s="2" t="s">
        <v>88</v>
      </c>
      <c r="B85" s="2">
        <v>4</v>
      </c>
      <c r="C85" s="2" t="s">
        <v>89</v>
      </c>
      <c r="D85" s="2" t="s">
        <v>37</v>
      </c>
      <c r="E85" s="2">
        <v>30</v>
      </c>
      <c r="F85" s="2">
        <v>480</v>
      </c>
      <c r="G85" s="2">
        <v>10</v>
      </c>
      <c r="H85" s="2">
        <v>10</v>
      </c>
      <c r="I85" s="2">
        <v>30</v>
      </c>
      <c r="J85" s="3">
        <v>5.0000000000000001E-3</v>
      </c>
      <c r="K85" s="4">
        <v>52765</v>
      </c>
      <c r="L85" s="4">
        <v>4199</v>
      </c>
      <c r="M85" s="4">
        <v>-1690</v>
      </c>
      <c r="N85" s="5">
        <v>-30.8</v>
      </c>
      <c r="O85" s="2">
        <v>44</v>
      </c>
      <c r="P85" s="2">
        <v>11</v>
      </c>
      <c r="Q85" s="2">
        <v>8</v>
      </c>
      <c r="R85" s="2">
        <v>25</v>
      </c>
      <c r="S85" s="6">
        <v>0.25</v>
      </c>
      <c r="T85" s="6">
        <v>0.26800000000000002</v>
      </c>
      <c r="U85" s="6">
        <f t="shared" si="2"/>
        <v>-1.8000000000000016E-2</v>
      </c>
    </row>
    <row r="86" spans="1:21" x14ac:dyDescent="0.3">
      <c r="A86" s="2" t="s">
        <v>88</v>
      </c>
      <c r="B86" s="2">
        <v>5</v>
      </c>
      <c r="C86" s="2" t="s">
        <v>23</v>
      </c>
      <c r="D86" s="2" t="s">
        <v>84</v>
      </c>
      <c r="E86" s="2">
        <v>660</v>
      </c>
      <c r="F86" s="2">
        <v>1320</v>
      </c>
      <c r="G86" s="2">
        <v>10</v>
      </c>
      <c r="H86" s="2">
        <v>10</v>
      </c>
      <c r="I86" s="2">
        <v>30</v>
      </c>
      <c r="J86" s="3">
        <v>5.0000000000000001E-3</v>
      </c>
      <c r="K86" s="4">
        <v>52178</v>
      </c>
      <c r="L86" s="4">
        <v>-3248</v>
      </c>
      <c r="M86" s="4">
        <v>-3766</v>
      </c>
      <c r="N86" s="5">
        <v>-75.400000000000006</v>
      </c>
      <c r="O86" s="2">
        <v>22</v>
      </c>
      <c r="P86" s="2">
        <v>4</v>
      </c>
      <c r="Q86" s="2">
        <v>8</v>
      </c>
      <c r="R86" s="2">
        <v>10</v>
      </c>
      <c r="S86" s="6">
        <v>0.182</v>
      </c>
      <c r="T86" s="6">
        <v>0.26800000000000002</v>
      </c>
      <c r="U86" s="6">
        <f t="shared" si="2"/>
        <v>-8.6000000000000021E-2</v>
      </c>
    </row>
    <row r="87" spans="1:21" x14ac:dyDescent="0.3">
      <c r="A87" s="2" t="s">
        <v>88</v>
      </c>
      <c r="B87" s="2">
        <v>6</v>
      </c>
      <c r="C87" s="2" t="s">
        <v>74</v>
      </c>
      <c r="D87" s="2" t="s">
        <v>61</v>
      </c>
      <c r="E87" s="2">
        <v>10</v>
      </c>
      <c r="F87" s="2">
        <v>1080</v>
      </c>
      <c r="G87" s="2">
        <v>20</v>
      </c>
      <c r="H87" s="2">
        <v>10</v>
      </c>
      <c r="I87" s="2">
        <v>30</v>
      </c>
      <c r="J87" s="3">
        <v>5.0000000000000001E-3</v>
      </c>
      <c r="K87" s="4">
        <v>51437</v>
      </c>
      <c r="L87" s="4">
        <v>7864</v>
      </c>
      <c r="M87" s="4">
        <v>7453</v>
      </c>
      <c r="N87" s="5">
        <v>146</v>
      </c>
      <c r="O87" s="2">
        <v>20</v>
      </c>
      <c r="P87" s="2">
        <v>9</v>
      </c>
      <c r="Q87" s="2">
        <v>4</v>
      </c>
      <c r="R87" s="2">
        <v>7</v>
      </c>
      <c r="S87" s="6">
        <v>0.45</v>
      </c>
      <c r="T87" s="6">
        <v>0.26800000000000002</v>
      </c>
      <c r="U87" s="6">
        <f t="shared" si="2"/>
        <v>0.182</v>
      </c>
    </row>
    <row r="88" spans="1:21" x14ac:dyDescent="0.3">
      <c r="A88" s="2" t="s">
        <v>88</v>
      </c>
      <c r="B88" s="2">
        <v>7</v>
      </c>
      <c r="C88" s="2" t="s">
        <v>80</v>
      </c>
      <c r="D88" s="2" t="s">
        <v>24</v>
      </c>
      <c r="E88" s="2">
        <v>750</v>
      </c>
      <c r="F88" s="2">
        <v>900</v>
      </c>
      <c r="G88" s="2">
        <v>10</v>
      </c>
      <c r="H88" s="2">
        <v>10</v>
      </c>
      <c r="I88" s="2">
        <v>30</v>
      </c>
      <c r="J88" s="3">
        <v>5.0000000000000001E-3</v>
      </c>
      <c r="K88" s="4">
        <v>51402</v>
      </c>
      <c r="L88" s="4">
        <v>754</v>
      </c>
      <c r="M88" s="4">
        <v>-1608</v>
      </c>
      <c r="N88" s="5">
        <v>-30.3</v>
      </c>
      <c r="O88" s="2">
        <v>29</v>
      </c>
      <c r="P88" s="2">
        <v>7</v>
      </c>
      <c r="Q88" s="2">
        <v>10</v>
      </c>
      <c r="R88" s="2">
        <v>12</v>
      </c>
      <c r="S88" s="6">
        <v>0.24099999999999999</v>
      </c>
      <c r="T88" s="6">
        <v>0.26800000000000002</v>
      </c>
      <c r="U88" s="6">
        <f t="shared" si="2"/>
        <v>-2.7000000000000024E-2</v>
      </c>
    </row>
    <row r="89" spans="1:21" x14ac:dyDescent="0.3">
      <c r="A89" s="2" t="s">
        <v>88</v>
      </c>
      <c r="B89" s="2">
        <v>8</v>
      </c>
      <c r="C89" s="2" t="s">
        <v>43</v>
      </c>
      <c r="D89" s="2" t="s">
        <v>84</v>
      </c>
      <c r="E89" s="2">
        <v>240</v>
      </c>
      <c r="F89" s="2">
        <v>1320</v>
      </c>
      <c r="G89" s="2">
        <v>20</v>
      </c>
      <c r="H89" s="2">
        <v>25</v>
      </c>
      <c r="I89" s="2">
        <v>60</v>
      </c>
      <c r="J89" s="3">
        <v>5.0000000000000001E-3</v>
      </c>
      <c r="K89" s="4">
        <v>51155</v>
      </c>
      <c r="L89" s="4">
        <v>-2109</v>
      </c>
      <c r="M89" s="4">
        <v>-948</v>
      </c>
      <c r="N89" s="5">
        <v>-45.5</v>
      </c>
      <c r="O89" s="2">
        <v>15</v>
      </c>
      <c r="P89" s="2">
        <v>4</v>
      </c>
      <c r="Q89" s="2">
        <v>3</v>
      </c>
      <c r="R89" s="2">
        <v>8</v>
      </c>
      <c r="S89" s="6">
        <v>0.26700000000000002</v>
      </c>
      <c r="T89" s="6">
        <v>0.30199999999999999</v>
      </c>
      <c r="U89" s="6">
        <f t="shared" si="2"/>
        <v>-3.4999999999999976E-2</v>
      </c>
    </row>
    <row r="90" spans="1:21" x14ac:dyDescent="0.3">
      <c r="A90" s="2" t="s">
        <v>88</v>
      </c>
      <c r="B90" s="2">
        <v>9</v>
      </c>
      <c r="C90" s="2" t="s">
        <v>66</v>
      </c>
      <c r="D90" s="2" t="s">
        <v>30</v>
      </c>
      <c r="E90" s="2">
        <v>120</v>
      </c>
      <c r="F90" s="2">
        <v>330</v>
      </c>
      <c r="G90" s="2">
        <v>10</v>
      </c>
      <c r="H90" s="2">
        <v>10</v>
      </c>
      <c r="I90" s="2">
        <v>30</v>
      </c>
      <c r="J90" s="3">
        <v>5.0000000000000001E-3</v>
      </c>
      <c r="K90" s="4">
        <v>49719</v>
      </c>
      <c r="L90" s="4">
        <v>9431</v>
      </c>
      <c r="M90" s="4">
        <v>-3777</v>
      </c>
      <c r="N90" s="5">
        <v>-73.599999999999994</v>
      </c>
      <c r="O90" s="2">
        <v>48</v>
      </c>
      <c r="P90" s="2">
        <v>11</v>
      </c>
      <c r="Q90" s="2">
        <v>11</v>
      </c>
      <c r="R90" s="2">
        <v>26</v>
      </c>
      <c r="S90" s="6">
        <v>0.22900000000000001</v>
      </c>
      <c r="T90" s="6">
        <v>0.26800000000000002</v>
      </c>
      <c r="U90" s="6">
        <f t="shared" si="2"/>
        <v>-3.9000000000000007E-2</v>
      </c>
    </row>
    <row r="91" spans="1:21" x14ac:dyDescent="0.3">
      <c r="A91" s="2" t="s">
        <v>88</v>
      </c>
      <c r="B91" s="2">
        <v>10</v>
      </c>
      <c r="C91" s="2" t="s">
        <v>82</v>
      </c>
      <c r="D91" s="2" t="s">
        <v>30</v>
      </c>
      <c r="E91" s="2">
        <v>3</v>
      </c>
      <c r="F91" s="2">
        <v>330</v>
      </c>
      <c r="G91" s="2">
        <v>20</v>
      </c>
      <c r="H91" s="2">
        <v>10</v>
      </c>
      <c r="I91" s="2">
        <v>30</v>
      </c>
      <c r="J91" s="3">
        <v>5.0000000000000001E-3</v>
      </c>
      <c r="K91" s="4">
        <v>49699</v>
      </c>
      <c r="L91" s="4">
        <v>8354</v>
      </c>
      <c r="M91" s="4">
        <v>6789</v>
      </c>
      <c r="N91" s="5">
        <v>134.80000000000001</v>
      </c>
      <c r="O91" s="2">
        <v>36</v>
      </c>
      <c r="P91" s="2">
        <v>13</v>
      </c>
      <c r="Q91" s="2">
        <v>5</v>
      </c>
      <c r="R91" s="2">
        <v>18</v>
      </c>
      <c r="S91" s="6">
        <v>0.36099999999999999</v>
      </c>
      <c r="T91" s="6">
        <v>0.26800000000000002</v>
      </c>
      <c r="U91" s="6">
        <f t="shared" si="2"/>
        <v>9.2999999999999972E-2</v>
      </c>
    </row>
    <row r="92" spans="1:21" x14ac:dyDescent="0.3">
      <c r="A92" s="2" t="s">
        <v>90</v>
      </c>
      <c r="B92" s="2">
        <v>1</v>
      </c>
      <c r="C92" s="2" t="s">
        <v>87</v>
      </c>
      <c r="D92" s="2" t="s">
        <v>32</v>
      </c>
      <c r="E92" s="2">
        <v>540</v>
      </c>
      <c r="F92" s="2">
        <v>1110</v>
      </c>
      <c r="G92" s="2">
        <v>10</v>
      </c>
      <c r="H92" s="2">
        <v>10</v>
      </c>
      <c r="I92" s="2">
        <v>30</v>
      </c>
      <c r="J92" s="3">
        <v>5.0000000000000001E-3</v>
      </c>
      <c r="K92" s="4">
        <v>65778</v>
      </c>
      <c r="L92" s="4">
        <v>5902</v>
      </c>
      <c r="M92" s="4">
        <v>-3547</v>
      </c>
      <c r="N92" s="5">
        <v>-70.3</v>
      </c>
      <c r="O92" s="2">
        <v>29</v>
      </c>
      <c r="P92" s="2">
        <v>6</v>
      </c>
      <c r="Q92" s="2">
        <v>10</v>
      </c>
      <c r="R92" s="2">
        <v>13</v>
      </c>
      <c r="S92" s="6">
        <v>0.20699999999999999</v>
      </c>
      <c r="T92" s="6">
        <v>0.26800000000000002</v>
      </c>
      <c r="U92" s="6">
        <f t="shared" si="2"/>
        <v>-6.1000000000000026E-2</v>
      </c>
    </row>
    <row r="93" spans="1:21" x14ac:dyDescent="0.3">
      <c r="A93" s="2" t="s">
        <v>90</v>
      </c>
      <c r="B93" s="2">
        <v>2</v>
      </c>
      <c r="C93" s="2" t="s">
        <v>74</v>
      </c>
      <c r="D93" s="2" t="s">
        <v>61</v>
      </c>
      <c r="E93" s="2">
        <v>10</v>
      </c>
      <c r="F93" s="2">
        <v>1080</v>
      </c>
      <c r="G93" s="2">
        <v>20</v>
      </c>
      <c r="H93" s="2">
        <v>10</v>
      </c>
      <c r="I93" s="2">
        <v>30</v>
      </c>
      <c r="J93" s="3">
        <v>5.0000000000000001E-3</v>
      </c>
      <c r="K93" s="4">
        <v>64244</v>
      </c>
      <c r="L93" s="4">
        <v>7453</v>
      </c>
      <c r="M93" s="4">
        <v>1067</v>
      </c>
      <c r="N93" s="5">
        <v>23.2</v>
      </c>
      <c r="O93" s="2">
        <v>24</v>
      </c>
      <c r="P93" s="2">
        <v>7</v>
      </c>
      <c r="Q93" s="2">
        <v>6</v>
      </c>
      <c r="R93" s="2">
        <v>11</v>
      </c>
      <c r="S93" s="6">
        <v>0.29199999999999998</v>
      </c>
      <c r="T93" s="6">
        <v>0.26800000000000002</v>
      </c>
      <c r="U93" s="6">
        <f t="shared" si="2"/>
        <v>2.3999999999999966E-2</v>
      </c>
    </row>
    <row r="94" spans="1:21" x14ac:dyDescent="0.3">
      <c r="A94" s="2" t="s">
        <v>90</v>
      </c>
      <c r="B94" s="2">
        <v>3</v>
      </c>
      <c r="C94" s="2" t="s">
        <v>76</v>
      </c>
      <c r="D94" s="2" t="s">
        <v>30</v>
      </c>
      <c r="E94" s="2">
        <v>5</v>
      </c>
      <c r="F94" s="2">
        <v>330</v>
      </c>
      <c r="G94" s="2">
        <v>20</v>
      </c>
      <c r="H94" s="2">
        <v>10</v>
      </c>
      <c r="I94" s="2">
        <v>30</v>
      </c>
      <c r="J94" s="3">
        <v>5.0000000000000001E-3</v>
      </c>
      <c r="K94" s="4">
        <v>57104</v>
      </c>
      <c r="L94" s="4">
        <v>1139</v>
      </c>
      <c r="M94" s="4">
        <v>-6602</v>
      </c>
      <c r="N94" s="5">
        <v>-134.5</v>
      </c>
      <c r="O94" s="2">
        <v>35</v>
      </c>
      <c r="P94" s="2">
        <v>6</v>
      </c>
      <c r="Q94" s="2">
        <v>11</v>
      </c>
      <c r="R94" s="2">
        <v>18</v>
      </c>
      <c r="S94" s="6">
        <v>0.17100000000000001</v>
      </c>
      <c r="T94" s="6">
        <v>0.26800000000000002</v>
      </c>
      <c r="U94" s="6">
        <f t="shared" si="2"/>
        <v>-9.7000000000000003E-2</v>
      </c>
    </row>
    <row r="95" spans="1:21" x14ac:dyDescent="0.3">
      <c r="A95" s="2" t="s">
        <v>90</v>
      </c>
      <c r="B95" s="2">
        <v>4</v>
      </c>
      <c r="C95" s="2" t="s">
        <v>82</v>
      </c>
      <c r="D95" s="2" t="s">
        <v>30</v>
      </c>
      <c r="E95" s="2">
        <v>3</v>
      </c>
      <c r="F95" s="2">
        <v>330</v>
      </c>
      <c r="G95" s="2">
        <v>20</v>
      </c>
      <c r="H95" s="2">
        <v>10</v>
      </c>
      <c r="I95" s="2">
        <v>30</v>
      </c>
      <c r="J95" s="3">
        <v>5.0000000000000001E-3</v>
      </c>
      <c r="K95" s="4">
        <v>56973</v>
      </c>
      <c r="L95" s="4">
        <v>6789</v>
      </c>
      <c r="M95" s="4">
        <v>-4212</v>
      </c>
      <c r="N95" s="5">
        <v>-83.8</v>
      </c>
      <c r="O95" s="2">
        <v>34</v>
      </c>
      <c r="P95" s="2">
        <v>7</v>
      </c>
      <c r="Q95" s="2">
        <v>9</v>
      </c>
      <c r="R95" s="2">
        <v>18</v>
      </c>
      <c r="S95" s="6">
        <v>0.20599999999999999</v>
      </c>
      <c r="T95" s="6">
        <v>0.26800000000000002</v>
      </c>
      <c r="U95" s="6">
        <f t="shared" si="2"/>
        <v>-6.2000000000000027E-2</v>
      </c>
    </row>
    <row r="96" spans="1:21" x14ac:dyDescent="0.3">
      <c r="A96" s="2" t="s">
        <v>90</v>
      </c>
      <c r="B96" s="2">
        <v>5</v>
      </c>
      <c r="C96" s="2" t="s">
        <v>64</v>
      </c>
      <c r="D96" s="2" t="s">
        <v>87</v>
      </c>
      <c r="E96" s="2">
        <v>60</v>
      </c>
      <c r="F96" s="2">
        <v>540</v>
      </c>
      <c r="G96" s="2">
        <v>10</v>
      </c>
      <c r="H96" s="2">
        <v>10</v>
      </c>
      <c r="I96" s="2">
        <v>30</v>
      </c>
      <c r="J96" s="3">
        <v>5.0000000000000001E-3</v>
      </c>
      <c r="K96" s="4">
        <v>54210</v>
      </c>
      <c r="L96" s="4">
        <v>-2064</v>
      </c>
      <c r="M96" s="4">
        <v>-2216</v>
      </c>
      <c r="N96" s="5">
        <v>-41.5</v>
      </c>
      <c r="O96" s="2">
        <v>45</v>
      </c>
      <c r="P96" s="2">
        <v>11</v>
      </c>
      <c r="Q96" s="2">
        <v>11</v>
      </c>
      <c r="R96" s="2">
        <v>23</v>
      </c>
      <c r="S96" s="6">
        <v>0.24399999999999999</v>
      </c>
      <c r="T96" s="6">
        <v>0.26800000000000002</v>
      </c>
      <c r="U96" s="6">
        <f t="shared" si="2"/>
        <v>-2.4000000000000021E-2</v>
      </c>
    </row>
    <row r="97" spans="1:21" x14ac:dyDescent="0.3">
      <c r="A97" s="2" t="s">
        <v>90</v>
      </c>
      <c r="B97" s="2">
        <v>6</v>
      </c>
      <c r="C97" s="2" t="s">
        <v>89</v>
      </c>
      <c r="D97" s="2" t="s">
        <v>37</v>
      </c>
      <c r="E97" s="2">
        <v>30</v>
      </c>
      <c r="F97" s="2">
        <v>480</v>
      </c>
      <c r="G97" s="2">
        <v>10</v>
      </c>
      <c r="H97" s="2">
        <v>10</v>
      </c>
      <c r="I97" s="2">
        <v>30</v>
      </c>
      <c r="J97" s="3">
        <v>5.0000000000000001E-3</v>
      </c>
      <c r="K97" s="4">
        <v>53697</v>
      </c>
      <c r="L97" s="4">
        <v>-1690</v>
      </c>
      <c r="M97" s="4">
        <v>-1690</v>
      </c>
      <c r="N97" s="5">
        <v>-30.8</v>
      </c>
      <c r="O97" s="2">
        <v>44</v>
      </c>
      <c r="P97" s="2">
        <v>11</v>
      </c>
      <c r="Q97" s="2">
        <v>15</v>
      </c>
      <c r="R97" s="2">
        <v>18</v>
      </c>
      <c r="S97" s="6">
        <v>0.25</v>
      </c>
      <c r="T97" s="6">
        <v>0.26800000000000002</v>
      </c>
      <c r="U97" s="6">
        <f t="shared" si="2"/>
        <v>-1.8000000000000016E-2</v>
      </c>
    </row>
    <row r="98" spans="1:21" x14ac:dyDescent="0.3">
      <c r="A98" s="2" t="s">
        <v>90</v>
      </c>
      <c r="B98" s="2">
        <v>7</v>
      </c>
      <c r="C98" s="2" t="s">
        <v>91</v>
      </c>
      <c r="D98" s="2" t="s">
        <v>92</v>
      </c>
      <c r="E98" s="2">
        <v>570</v>
      </c>
      <c r="F98" s="2">
        <v>2190</v>
      </c>
      <c r="G98" s="2">
        <v>30</v>
      </c>
      <c r="H98" s="2">
        <v>10</v>
      </c>
      <c r="I98" s="2">
        <v>30</v>
      </c>
      <c r="J98" s="3">
        <v>5.0000000000000001E-3</v>
      </c>
      <c r="K98" s="4">
        <v>51561</v>
      </c>
      <c r="L98" s="4">
        <v>2633</v>
      </c>
      <c r="M98" s="4">
        <v>-3835</v>
      </c>
      <c r="N98" s="5">
        <v>-77.7</v>
      </c>
      <c r="O98" s="2">
        <v>11</v>
      </c>
      <c r="P98" s="2">
        <v>1</v>
      </c>
      <c r="Q98" s="2">
        <v>2</v>
      </c>
      <c r="R98" s="2">
        <v>8</v>
      </c>
      <c r="S98" s="6">
        <v>9.0999999999999998E-2</v>
      </c>
      <c r="T98" s="6">
        <v>0.26800000000000002</v>
      </c>
      <c r="U98" s="6">
        <f t="shared" ref="U98:U129" si="3">S98-T98</f>
        <v>-0.17700000000000002</v>
      </c>
    </row>
    <row r="99" spans="1:21" x14ac:dyDescent="0.3">
      <c r="A99" s="2" t="s">
        <v>90</v>
      </c>
      <c r="B99" s="2">
        <v>8</v>
      </c>
      <c r="C99" s="2" t="s">
        <v>38</v>
      </c>
      <c r="D99" s="2" t="s">
        <v>91</v>
      </c>
      <c r="E99" s="2">
        <v>1</v>
      </c>
      <c r="F99" s="2">
        <v>570</v>
      </c>
      <c r="G99" s="2">
        <v>15</v>
      </c>
      <c r="H99" s="2">
        <v>20</v>
      </c>
      <c r="I99" s="2">
        <v>60</v>
      </c>
      <c r="J99" s="3">
        <v>5.0000000000000001E-3</v>
      </c>
      <c r="K99" s="4">
        <v>50507</v>
      </c>
      <c r="L99" s="4">
        <v>3620</v>
      </c>
      <c r="M99" s="4">
        <v>3620</v>
      </c>
      <c r="N99" s="5">
        <v>146</v>
      </c>
      <c r="O99" s="2">
        <v>20</v>
      </c>
      <c r="P99" s="2">
        <v>7</v>
      </c>
      <c r="Q99" s="2">
        <v>3</v>
      </c>
      <c r="R99" s="2">
        <v>10</v>
      </c>
      <c r="S99" s="6">
        <v>0.35</v>
      </c>
      <c r="T99" s="6">
        <v>0.25900000000000001</v>
      </c>
      <c r="U99" s="6">
        <f t="shared" si="3"/>
        <v>9.099999999999997E-2</v>
      </c>
    </row>
    <row r="100" spans="1:21" x14ac:dyDescent="0.3">
      <c r="A100" s="2" t="s">
        <v>90</v>
      </c>
      <c r="B100" s="2">
        <v>9</v>
      </c>
      <c r="C100" s="2" t="s">
        <v>64</v>
      </c>
      <c r="D100" s="2" t="s">
        <v>37</v>
      </c>
      <c r="E100" s="2">
        <v>60</v>
      </c>
      <c r="F100" s="2">
        <v>480</v>
      </c>
      <c r="G100" s="2">
        <v>10</v>
      </c>
      <c r="H100" s="2">
        <v>10</v>
      </c>
      <c r="I100" s="2">
        <v>30</v>
      </c>
      <c r="J100" s="3">
        <v>5.0000000000000001E-3</v>
      </c>
      <c r="K100" s="4">
        <v>50344</v>
      </c>
      <c r="L100" s="4">
        <v>-3259</v>
      </c>
      <c r="M100" s="4">
        <v>2303</v>
      </c>
      <c r="N100" s="5">
        <v>49.2</v>
      </c>
      <c r="O100" s="2">
        <v>44</v>
      </c>
      <c r="P100" s="2">
        <v>13</v>
      </c>
      <c r="Q100" s="2">
        <v>10</v>
      </c>
      <c r="R100" s="2">
        <v>21</v>
      </c>
      <c r="S100" s="6">
        <v>0.29499999999999998</v>
      </c>
      <c r="T100" s="6">
        <v>0.26800000000000002</v>
      </c>
      <c r="U100" s="6">
        <f t="shared" si="3"/>
        <v>2.6999999999999968E-2</v>
      </c>
    </row>
    <row r="101" spans="1:21" x14ac:dyDescent="0.3">
      <c r="A101" s="2" t="s">
        <v>90</v>
      </c>
      <c r="B101" s="2">
        <v>10</v>
      </c>
      <c r="C101" s="2" t="s">
        <v>24</v>
      </c>
      <c r="D101" s="2" t="s">
        <v>93</v>
      </c>
      <c r="E101" s="2">
        <v>900</v>
      </c>
      <c r="F101" s="2">
        <v>1410</v>
      </c>
      <c r="G101" s="2">
        <v>25</v>
      </c>
      <c r="H101" s="2">
        <v>15</v>
      </c>
      <c r="I101" s="2">
        <v>40</v>
      </c>
      <c r="J101" s="3">
        <v>5.0000000000000001E-3</v>
      </c>
      <c r="K101" s="4">
        <v>50094</v>
      </c>
      <c r="L101" s="4">
        <v>4223</v>
      </c>
      <c r="M101" s="4">
        <v>-3626</v>
      </c>
      <c r="N101" s="5">
        <v>-109.8</v>
      </c>
      <c r="O101" s="2">
        <v>14</v>
      </c>
      <c r="P101" s="2">
        <v>2</v>
      </c>
      <c r="Q101" s="2">
        <v>2</v>
      </c>
      <c r="R101" s="2">
        <v>10</v>
      </c>
      <c r="S101" s="6">
        <v>0.14299999999999999</v>
      </c>
      <c r="T101" s="6">
        <v>0.28499999999999998</v>
      </c>
      <c r="U101" s="6">
        <f t="shared" si="3"/>
        <v>-0.14199999999999999</v>
      </c>
    </row>
    <row r="102" spans="1:21" x14ac:dyDescent="0.3">
      <c r="A102" s="2" t="s">
        <v>94</v>
      </c>
      <c r="B102" s="2">
        <v>1</v>
      </c>
      <c r="C102" s="2" t="s">
        <v>74</v>
      </c>
      <c r="D102" s="2" t="s">
        <v>61</v>
      </c>
      <c r="E102" s="2">
        <v>10</v>
      </c>
      <c r="F102" s="2">
        <v>1080</v>
      </c>
      <c r="G102" s="2">
        <v>20</v>
      </c>
      <c r="H102" s="2">
        <v>10</v>
      </c>
      <c r="I102" s="2">
        <v>30</v>
      </c>
      <c r="J102" s="3">
        <v>5.0000000000000001E-3</v>
      </c>
      <c r="K102" s="4">
        <v>73151</v>
      </c>
      <c r="L102" s="4">
        <v>1067</v>
      </c>
      <c r="M102" s="4">
        <v>-618</v>
      </c>
      <c r="N102" s="5">
        <v>-11.2</v>
      </c>
      <c r="O102" s="2">
        <v>16</v>
      </c>
      <c r="P102" s="2">
        <v>4</v>
      </c>
      <c r="Q102" s="2">
        <v>3</v>
      </c>
      <c r="R102" s="2">
        <v>9</v>
      </c>
      <c r="S102" s="6">
        <v>0.25</v>
      </c>
      <c r="T102" s="6">
        <v>0.26800000000000002</v>
      </c>
      <c r="U102" s="6">
        <f t="shared" si="3"/>
        <v>-1.8000000000000016E-2</v>
      </c>
    </row>
    <row r="103" spans="1:21" x14ac:dyDescent="0.3">
      <c r="A103" s="2" t="s">
        <v>94</v>
      </c>
      <c r="B103" s="2">
        <v>2</v>
      </c>
      <c r="C103" s="2" t="s">
        <v>64</v>
      </c>
      <c r="D103" s="2" t="s">
        <v>37</v>
      </c>
      <c r="E103" s="2">
        <v>60</v>
      </c>
      <c r="F103" s="2">
        <v>480</v>
      </c>
      <c r="G103" s="2">
        <v>10</v>
      </c>
      <c r="H103" s="2">
        <v>10</v>
      </c>
      <c r="I103" s="2">
        <v>30</v>
      </c>
      <c r="J103" s="3">
        <v>5.0000000000000001E-3</v>
      </c>
      <c r="K103" s="4">
        <v>54302</v>
      </c>
      <c r="L103" s="4">
        <v>2303</v>
      </c>
      <c r="M103" s="4">
        <v>-1760</v>
      </c>
      <c r="N103" s="5">
        <v>-33.1</v>
      </c>
      <c r="O103" s="2">
        <v>33</v>
      </c>
      <c r="P103" s="2">
        <v>8</v>
      </c>
      <c r="Q103" s="2">
        <v>7</v>
      </c>
      <c r="R103" s="2">
        <v>18</v>
      </c>
      <c r="S103" s="6">
        <v>0.24199999999999999</v>
      </c>
      <c r="T103" s="6">
        <v>0.26800000000000002</v>
      </c>
      <c r="U103" s="6">
        <f t="shared" si="3"/>
        <v>-2.6000000000000023E-2</v>
      </c>
    </row>
    <row r="104" spans="1:21" x14ac:dyDescent="0.3">
      <c r="A104" s="2" t="s">
        <v>94</v>
      </c>
      <c r="B104" s="2">
        <v>3</v>
      </c>
      <c r="C104" s="2" t="s">
        <v>64</v>
      </c>
      <c r="D104" s="2" t="s">
        <v>87</v>
      </c>
      <c r="E104" s="2">
        <v>60</v>
      </c>
      <c r="F104" s="2">
        <v>540</v>
      </c>
      <c r="G104" s="2">
        <v>10</v>
      </c>
      <c r="H104" s="2">
        <v>10</v>
      </c>
      <c r="I104" s="2">
        <v>30</v>
      </c>
      <c r="J104" s="3">
        <v>5.0000000000000001E-3</v>
      </c>
      <c r="K104" s="4">
        <v>53494</v>
      </c>
      <c r="L104" s="4">
        <v>-2216</v>
      </c>
      <c r="M104" s="4">
        <v>-3179</v>
      </c>
      <c r="N104" s="5">
        <v>-62.4</v>
      </c>
      <c r="O104" s="2">
        <v>32</v>
      </c>
      <c r="P104" s="2">
        <v>7</v>
      </c>
      <c r="Q104" s="2">
        <v>8</v>
      </c>
      <c r="R104" s="2">
        <v>17</v>
      </c>
      <c r="S104" s="6">
        <v>0.219</v>
      </c>
      <c r="T104" s="6">
        <v>0.26800000000000002</v>
      </c>
      <c r="U104" s="6">
        <f t="shared" si="3"/>
        <v>-4.9000000000000016E-2</v>
      </c>
    </row>
    <row r="105" spans="1:21" x14ac:dyDescent="0.3">
      <c r="A105" s="2" t="s">
        <v>94</v>
      </c>
      <c r="B105" s="2">
        <v>4</v>
      </c>
      <c r="C105" s="2" t="s">
        <v>38</v>
      </c>
      <c r="D105" s="2" t="s">
        <v>91</v>
      </c>
      <c r="E105" s="2">
        <v>1</v>
      </c>
      <c r="F105" s="2">
        <v>570</v>
      </c>
      <c r="G105" s="2">
        <v>15</v>
      </c>
      <c r="H105" s="2">
        <v>20</v>
      </c>
      <c r="I105" s="2">
        <v>60</v>
      </c>
      <c r="J105" s="3">
        <v>5.0000000000000001E-3</v>
      </c>
      <c r="K105" s="4">
        <v>51948</v>
      </c>
      <c r="L105" s="4">
        <v>3620</v>
      </c>
      <c r="M105" s="4">
        <v>-771</v>
      </c>
      <c r="N105" s="5">
        <v>-29.1</v>
      </c>
      <c r="O105" s="2">
        <v>13</v>
      </c>
      <c r="P105" s="2">
        <v>3</v>
      </c>
      <c r="Q105" s="2">
        <v>4</v>
      </c>
      <c r="R105" s="2">
        <v>6</v>
      </c>
      <c r="S105" s="6">
        <v>0.23100000000000001</v>
      </c>
      <c r="T105" s="6">
        <v>0.25900000000000001</v>
      </c>
      <c r="U105" s="6">
        <f t="shared" si="3"/>
        <v>-2.7999999999999997E-2</v>
      </c>
    </row>
    <row r="106" spans="1:21" x14ac:dyDescent="0.3">
      <c r="A106" s="2" t="s">
        <v>94</v>
      </c>
      <c r="B106" s="2">
        <v>5</v>
      </c>
      <c r="C106" s="2" t="s">
        <v>82</v>
      </c>
      <c r="D106" s="2" t="s">
        <v>30</v>
      </c>
      <c r="E106" s="2">
        <v>3</v>
      </c>
      <c r="F106" s="2">
        <v>330</v>
      </c>
      <c r="G106" s="2">
        <v>20</v>
      </c>
      <c r="H106" s="2">
        <v>10</v>
      </c>
      <c r="I106" s="2">
        <v>30</v>
      </c>
      <c r="J106" s="3">
        <v>5.0000000000000001E-3</v>
      </c>
      <c r="K106" s="4">
        <v>51765</v>
      </c>
      <c r="L106" s="4">
        <v>-4212</v>
      </c>
      <c r="M106" s="4">
        <v>1067</v>
      </c>
      <c r="N106" s="5">
        <v>23.2</v>
      </c>
      <c r="O106" s="2">
        <v>24</v>
      </c>
      <c r="P106" s="2">
        <v>7</v>
      </c>
      <c r="Q106" s="2">
        <v>3</v>
      </c>
      <c r="R106" s="2">
        <v>14</v>
      </c>
      <c r="S106" s="6">
        <v>0.29199999999999998</v>
      </c>
      <c r="T106" s="6">
        <v>0.26800000000000002</v>
      </c>
      <c r="U106" s="6">
        <f t="shared" si="3"/>
        <v>2.3999999999999966E-2</v>
      </c>
    </row>
    <row r="107" spans="1:21" x14ac:dyDescent="0.3">
      <c r="A107" s="2" t="s">
        <v>94</v>
      </c>
      <c r="B107" s="2">
        <v>6</v>
      </c>
      <c r="C107" s="2" t="s">
        <v>95</v>
      </c>
      <c r="D107" s="2" t="s">
        <v>84</v>
      </c>
      <c r="E107" s="2">
        <v>990</v>
      </c>
      <c r="F107" s="2">
        <v>1320</v>
      </c>
      <c r="G107" s="2">
        <v>10</v>
      </c>
      <c r="H107" s="2">
        <v>10</v>
      </c>
      <c r="I107" s="2">
        <v>30</v>
      </c>
      <c r="J107" s="3">
        <v>5.0000000000000001E-3</v>
      </c>
      <c r="K107" s="4">
        <v>51690</v>
      </c>
      <c r="L107" s="4">
        <v>9444</v>
      </c>
      <c r="M107" s="4">
        <v>-772</v>
      </c>
      <c r="N107" s="5">
        <v>-14</v>
      </c>
      <c r="O107" s="2">
        <v>20</v>
      </c>
      <c r="P107" s="2">
        <v>5</v>
      </c>
      <c r="Q107" s="2">
        <v>6</v>
      </c>
      <c r="R107" s="2">
        <v>9</v>
      </c>
      <c r="S107" s="6">
        <v>0.25</v>
      </c>
      <c r="T107" s="6">
        <v>0.26800000000000002</v>
      </c>
      <c r="U107" s="6">
        <f t="shared" si="3"/>
        <v>-1.8000000000000016E-2</v>
      </c>
    </row>
    <row r="108" spans="1:21" x14ac:dyDescent="0.3">
      <c r="A108" s="2" t="s">
        <v>94</v>
      </c>
      <c r="B108" s="2">
        <v>7</v>
      </c>
      <c r="C108" s="2" t="s">
        <v>96</v>
      </c>
      <c r="D108" s="2" t="s">
        <v>47</v>
      </c>
      <c r="E108" s="2">
        <v>15</v>
      </c>
      <c r="F108" s="2">
        <v>1020</v>
      </c>
      <c r="G108" s="2">
        <v>20</v>
      </c>
      <c r="H108" s="2">
        <v>10</v>
      </c>
      <c r="I108" s="2">
        <v>30</v>
      </c>
      <c r="J108" s="3">
        <v>5.0000000000000001E-3</v>
      </c>
      <c r="K108" s="4">
        <v>50269</v>
      </c>
      <c r="L108" s="4">
        <v>526</v>
      </c>
      <c r="M108" s="4">
        <v>-1678</v>
      </c>
      <c r="N108" s="5">
        <v>-32.6</v>
      </c>
      <c r="O108" s="2">
        <v>18</v>
      </c>
      <c r="P108" s="2">
        <v>4</v>
      </c>
      <c r="Q108" s="2">
        <v>4</v>
      </c>
      <c r="R108" s="2">
        <v>10</v>
      </c>
      <c r="S108" s="6">
        <v>0.222</v>
      </c>
      <c r="T108" s="6">
        <v>0.26800000000000002</v>
      </c>
      <c r="U108" s="6">
        <f t="shared" si="3"/>
        <v>-4.6000000000000013E-2</v>
      </c>
    </row>
    <row r="109" spans="1:21" x14ac:dyDescent="0.3">
      <c r="A109" s="2" t="s">
        <v>94</v>
      </c>
      <c r="B109" s="2">
        <v>8</v>
      </c>
      <c r="C109" s="2" t="s">
        <v>87</v>
      </c>
      <c r="D109" s="2" t="s">
        <v>32</v>
      </c>
      <c r="E109" s="2">
        <v>540</v>
      </c>
      <c r="F109" s="2">
        <v>1110</v>
      </c>
      <c r="G109" s="2">
        <v>10</v>
      </c>
      <c r="H109" s="2">
        <v>10</v>
      </c>
      <c r="I109" s="2">
        <v>30</v>
      </c>
      <c r="J109" s="3">
        <v>5.0000000000000001E-3</v>
      </c>
      <c r="K109" s="4">
        <v>49375</v>
      </c>
      <c r="L109" s="4">
        <v>-3547</v>
      </c>
      <c r="M109" s="4">
        <v>-392</v>
      </c>
      <c r="N109" s="5">
        <v>-6.1</v>
      </c>
      <c r="O109" s="2">
        <v>23</v>
      </c>
      <c r="P109" s="2">
        <v>6</v>
      </c>
      <c r="Q109" s="2">
        <v>2</v>
      </c>
      <c r="R109" s="2">
        <v>15</v>
      </c>
      <c r="S109" s="6">
        <v>0.26100000000000001</v>
      </c>
      <c r="T109" s="6">
        <v>0.26800000000000002</v>
      </c>
      <c r="U109" s="6">
        <f t="shared" si="3"/>
        <v>-7.0000000000000062E-3</v>
      </c>
    </row>
    <row r="110" spans="1:21" x14ac:dyDescent="0.3">
      <c r="A110" s="2" t="s">
        <v>94</v>
      </c>
      <c r="B110" s="2">
        <v>9</v>
      </c>
      <c r="C110" s="2" t="s">
        <v>43</v>
      </c>
      <c r="D110" s="2" t="s">
        <v>84</v>
      </c>
      <c r="E110" s="2">
        <v>240</v>
      </c>
      <c r="F110" s="2">
        <v>1320</v>
      </c>
      <c r="G110" s="2">
        <v>20</v>
      </c>
      <c r="H110" s="2">
        <v>25</v>
      </c>
      <c r="I110" s="2">
        <v>70</v>
      </c>
      <c r="J110" s="3">
        <v>5.0000000000000001E-3</v>
      </c>
      <c r="K110" s="4">
        <v>48930</v>
      </c>
      <c r="L110" s="4">
        <v>4400</v>
      </c>
      <c r="M110" s="4">
        <v>1043</v>
      </c>
      <c r="N110" s="5">
        <v>53.7</v>
      </c>
      <c r="O110" s="2">
        <v>9</v>
      </c>
      <c r="P110" s="2">
        <v>3</v>
      </c>
      <c r="Q110" s="2">
        <v>1</v>
      </c>
      <c r="R110" s="2">
        <v>5</v>
      </c>
      <c r="S110" s="6">
        <v>0.33300000000000002</v>
      </c>
      <c r="T110" s="6">
        <v>0.27100000000000002</v>
      </c>
      <c r="U110" s="6">
        <f t="shared" si="3"/>
        <v>6.2E-2</v>
      </c>
    </row>
    <row r="111" spans="1:21" x14ac:dyDescent="0.3">
      <c r="A111" s="2" t="s">
        <v>94</v>
      </c>
      <c r="B111" s="2">
        <v>10</v>
      </c>
      <c r="C111" s="2" t="s">
        <v>76</v>
      </c>
      <c r="D111" s="2" t="s">
        <v>30</v>
      </c>
      <c r="E111" s="2">
        <v>5</v>
      </c>
      <c r="F111" s="2">
        <v>330</v>
      </c>
      <c r="G111" s="2">
        <v>20</v>
      </c>
      <c r="H111" s="2">
        <v>10</v>
      </c>
      <c r="I111" s="2">
        <v>30</v>
      </c>
      <c r="J111" s="3">
        <v>5.0000000000000001E-3</v>
      </c>
      <c r="K111" s="4">
        <v>48898</v>
      </c>
      <c r="L111" s="4">
        <v>-6602</v>
      </c>
      <c r="M111" s="4">
        <v>1610</v>
      </c>
      <c r="N111" s="5">
        <v>33.9</v>
      </c>
      <c r="O111" s="2">
        <v>23</v>
      </c>
      <c r="P111" s="2">
        <v>7</v>
      </c>
      <c r="Q111" s="2">
        <v>3</v>
      </c>
      <c r="R111" s="2">
        <v>13</v>
      </c>
      <c r="S111" s="6">
        <v>0.30399999999999999</v>
      </c>
      <c r="T111" s="6">
        <v>0.26800000000000002</v>
      </c>
      <c r="U111" s="6">
        <f t="shared" si="3"/>
        <v>3.5999999999999976E-2</v>
      </c>
    </row>
    <row r="112" spans="1:21" x14ac:dyDescent="0.3">
      <c r="A112" s="2" t="s">
        <v>97</v>
      </c>
      <c r="B112" s="2">
        <v>1</v>
      </c>
      <c r="C112" s="2" t="s">
        <v>74</v>
      </c>
      <c r="D112" s="2" t="s">
        <v>61</v>
      </c>
      <c r="E112" s="2">
        <v>10</v>
      </c>
      <c r="F112" s="2">
        <v>1080</v>
      </c>
      <c r="G112" s="2">
        <v>20</v>
      </c>
      <c r="H112" s="2">
        <v>10</v>
      </c>
      <c r="I112" s="2">
        <v>30</v>
      </c>
      <c r="J112" s="3">
        <v>5.0000000000000001E-3</v>
      </c>
      <c r="K112" s="4">
        <v>59174</v>
      </c>
      <c r="L112" s="4">
        <v>-618</v>
      </c>
      <c r="M112" s="4">
        <v>6066</v>
      </c>
      <c r="N112" s="5">
        <v>119.5</v>
      </c>
      <c r="O112" s="2">
        <v>15</v>
      </c>
      <c r="P112" s="2">
        <v>7</v>
      </c>
      <c r="Q112" s="2">
        <v>2</v>
      </c>
      <c r="R112" s="2">
        <v>6</v>
      </c>
      <c r="S112" s="6">
        <v>0.46700000000000003</v>
      </c>
      <c r="T112" s="6">
        <v>0.26800000000000002</v>
      </c>
      <c r="U112" s="6">
        <f t="shared" si="3"/>
        <v>0.19900000000000001</v>
      </c>
    </row>
    <row r="113" spans="1:21" x14ac:dyDescent="0.3">
      <c r="A113" s="2" t="s">
        <v>97</v>
      </c>
      <c r="B113" s="2">
        <v>2</v>
      </c>
      <c r="C113" s="2" t="s">
        <v>23</v>
      </c>
      <c r="D113" s="2" t="s">
        <v>84</v>
      </c>
      <c r="E113" s="2">
        <v>660</v>
      </c>
      <c r="F113" s="2">
        <v>1320</v>
      </c>
      <c r="G113" s="2">
        <v>10</v>
      </c>
      <c r="H113" s="2">
        <v>10</v>
      </c>
      <c r="I113" s="2">
        <v>30</v>
      </c>
      <c r="J113" s="3">
        <v>5.0000000000000001E-3</v>
      </c>
      <c r="K113" s="4">
        <v>50321</v>
      </c>
      <c r="L113" s="4">
        <v>-1831</v>
      </c>
      <c r="M113" s="4">
        <v>-772</v>
      </c>
      <c r="N113" s="5">
        <v>-14</v>
      </c>
      <c r="O113" s="2">
        <v>20</v>
      </c>
      <c r="P113" s="2">
        <v>5</v>
      </c>
      <c r="Q113" s="2">
        <v>4</v>
      </c>
      <c r="R113" s="2">
        <v>11</v>
      </c>
      <c r="S113" s="6">
        <v>0.25</v>
      </c>
      <c r="T113" s="6">
        <v>0.26800000000000002</v>
      </c>
      <c r="U113" s="6">
        <f t="shared" si="3"/>
        <v>-1.8000000000000016E-2</v>
      </c>
    </row>
    <row r="114" spans="1:21" x14ac:dyDescent="0.3">
      <c r="A114" s="2" t="s">
        <v>97</v>
      </c>
      <c r="B114" s="2">
        <v>3</v>
      </c>
      <c r="C114" s="2" t="s">
        <v>43</v>
      </c>
      <c r="D114" s="2" t="s">
        <v>84</v>
      </c>
      <c r="E114" s="2">
        <v>240</v>
      </c>
      <c r="F114" s="2">
        <v>1320</v>
      </c>
      <c r="G114" s="2">
        <v>20</v>
      </c>
      <c r="H114" s="2">
        <v>25</v>
      </c>
      <c r="I114" s="2">
        <v>70</v>
      </c>
      <c r="J114" s="3">
        <v>5.0000000000000001E-3</v>
      </c>
      <c r="K114" s="4">
        <v>47903</v>
      </c>
      <c r="L114" s="4">
        <v>1043</v>
      </c>
      <c r="M114" s="4">
        <v>-2709</v>
      </c>
      <c r="N114" s="5">
        <v>-136.30000000000001</v>
      </c>
      <c r="O114" s="2">
        <v>9</v>
      </c>
      <c r="P114" s="2">
        <v>1</v>
      </c>
      <c r="Q114" s="2">
        <v>1</v>
      </c>
      <c r="R114" s="2">
        <v>7</v>
      </c>
      <c r="S114" s="6">
        <v>0.111</v>
      </c>
      <c r="T114" s="6">
        <v>0.27100000000000002</v>
      </c>
      <c r="U114" s="6">
        <f t="shared" si="3"/>
        <v>-0.16000000000000003</v>
      </c>
    </row>
    <row r="115" spans="1:21" x14ac:dyDescent="0.3">
      <c r="A115" s="2" t="s">
        <v>97</v>
      </c>
      <c r="B115" s="2">
        <v>4</v>
      </c>
      <c r="C115" s="2" t="s">
        <v>95</v>
      </c>
      <c r="D115" s="2" t="s">
        <v>84</v>
      </c>
      <c r="E115" s="2">
        <v>990</v>
      </c>
      <c r="F115" s="2">
        <v>1320</v>
      </c>
      <c r="G115" s="2">
        <v>10</v>
      </c>
      <c r="H115" s="2">
        <v>10</v>
      </c>
      <c r="I115" s="2">
        <v>30</v>
      </c>
      <c r="J115" s="3">
        <v>5.0000000000000001E-3</v>
      </c>
      <c r="K115" s="4">
        <v>47570</v>
      </c>
      <c r="L115" s="4">
        <v>-772</v>
      </c>
      <c r="M115" s="4">
        <v>3099</v>
      </c>
      <c r="N115" s="5">
        <v>63.2</v>
      </c>
      <c r="O115" s="2">
        <v>24</v>
      </c>
      <c r="P115" s="2">
        <v>8</v>
      </c>
      <c r="Q115" s="2">
        <v>4</v>
      </c>
      <c r="R115" s="2">
        <v>12</v>
      </c>
      <c r="S115" s="6">
        <v>0.33300000000000002</v>
      </c>
      <c r="T115" s="6">
        <v>0.26800000000000002</v>
      </c>
      <c r="U115" s="6">
        <f t="shared" si="3"/>
        <v>6.5000000000000002E-2</v>
      </c>
    </row>
    <row r="116" spans="1:21" x14ac:dyDescent="0.3">
      <c r="A116" s="2" t="s">
        <v>97</v>
      </c>
      <c r="B116" s="2">
        <v>5</v>
      </c>
      <c r="C116" s="2" t="s">
        <v>78</v>
      </c>
      <c r="D116" s="2" t="s">
        <v>98</v>
      </c>
      <c r="E116" s="2">
        <v>1560</v>
      </c>
      <c r="F116" s="2">
        <v>1860</v>
      </c>
      <c r="G116" s="2">
        <v>25</v>
      </c>
      <c r="H116" s="2">
        <v>20</v>
      </c>
      <c r="I116" s="2">
        <v>60</v>
      </c>
      <c r="J116" s="3">
        <v>5.0000000000000001E-3</v>
      </c>
      <c r="K116" s="4">
        <v>47319</v>
      </c>
      <c r="L116" s="4">
        <v>1396</v>
      </c>
      <c r="M116" s="4">
        <v>-1628</v>
      </c>
      <c r="N116" s="5">
        <v>-64.900000000000006</v>
      </c>
      <c r="O116" s="2">
        <v>7</v>
      </c>
      <c r="P116" s="2">
        <v>1</v>
      </c>
      <c r="Q116" s="2">
        <v>0</v>
      </c>
      <c r="R116" s="2">
        <v>6</v>
      </c>
      <c r="S116" s="6">
        <v>0.14299999999999999</v>
      </c>
      <c r="T116" s="6">
        <v>0.25900000000000001</v>
      </c>
      <c r="U116" s="6">
        <f t="shared" si="3"/>
        <v>-0.11600000000000002</v>
      </c>
    </row>
    <row r="117" spans="1:21" x14ac:dyDescent="0.3">
      <c r="A117" s="2" t="s">
        <v>97</v>
      </c>
      <c r="B117" s="2">
        <v>6</v>
      </c>
      <c r="C117" s="2" t="s">
        <v>96</v>
      </c>
      <c r="D117" s="2" t="s">
        <v>47</v>
      </c>
      <c r="E117" s="2">
        <v>15</v>
      </c>
      <c r="F117" s="2">
        <v>1020</v>
      </c>
      <c r="G117" s="2">
        <v>20</v>
      </c>
      <c r="H117" s="2">
        <v>10</v>
      </c>
      <c r="I117" s="2">
        <v>30</v>
      </c>
      <c r="J117" s="3">
        <v>5.0000000000000001E-3</v>
      </c>
      <c r="K117" s="4">
        <v>46641</v>
      </c>
      <c r="L117" s="4">
        <v>-1678</v>
      </c>
      <c r="M117" s="4">
        <v>6066</v>
      </c>
      <c r="N117" s="5">
        <v>119.5</v>
      </c>
      <c r="O117" s="2">
        <v>15</v>
      </c>
      <c r="P117" s="2">
        <v>7</v>
      </c>
      <c r="Q117" s="2">
        <v>2</v>
      </c>
      <c r="R117" s="2">
        <v>6</v>
      </c>
      <c r="S117" s="6">
        <v>0.46700000000000003</v>
      </c>
      <c r="T117" s="6">
        <v>0.26800000000000002</v>
      </c>
      <c r="U117" s="6">
        <f t="shared" si="3"/>
        <v>0.19900000000000001</v>
      </c>
    </row>
    <row r="118" spans="1:21" x14ac:dyDescent="0.3">
      <c r="A118" s="2" t="s">
        <v>97</v>
      </c>
      <c r="B118" s="2">
        <v>7</v>
      </c>
      <c r="C118" s="2" t="s">
        <v>91</v>
      </c>
      <c r="D118" s="2" t="s">
        <v>99</v>
      </c>
      <c r="E118" s="2">
        <v>570</v>
      </c>
      <c r="F118" s="2">
        <v>2160</v>
      </c>
      <c r="G118" s="2">
        <v>25</v>
      </c>
      <c r="H118" s="2">
        <v>15</v>
      </c>
      <c r="I118" s="2">
        <v>40</v>
      </c>
      <c r="J118" s="3">
        <v>5.0000000000000001E-3</v>
      </c>
      <c r="K118" s="4">
        <v>46448</v>
      </c>
      <c r="L118" s="4">
        <v>505</v>
      </c>
      <c r="M118" s="4">
        <v>-2855</v>
      </c>
      <c r="N118" s="5">
        <v>-86.3</v>
      </c>
      <c r="O118" s="2">
        <v>9</v>
      </c>
      <c r="P118" s="2">
        <v>1</v>
      </c>
      <c r="Q118" s="2">
        <v>1</v>
      </c>
      <c r="R118" s="2">
        <v>7</v>
      </c>
      <c r="S118" s="6">
        <v>0.111</v>
      </c>
      <c r="T118" s="6">
        <v>0.28499999999999998</v>
      </c>
      <c r="U118" s="6">
        <f t="shared" si="3"/>
        <v>-0.17399999999999999</v>
      </c>
    </row>
    <row r="119" spans="1:21" x14ac:dyDescent="0.3">
      <c r="A119" s="2" t="s">
        <v>97</v>
      </c>
      <c r="B119" s="2">
        <v>8</v>
      </c>
      <c r="C119" s="2" t="s">
        <v>38</v>
      </c>
      <c r="D119" s="2" t="s">
        <v>91</v>
      </c>
      <c r="E119" s="2">
        <v>1</v>
      </c>
      <c r="F119" s="2">
        <v>570</v>
      </c>
      <c r="G119" s="2">
        <v>15</v>
      </c>
      <c r="H119" s="2">
        <v>20</v>
      </c>
      <c r="I119" s="2">
        <v>60</v>
      </c>
      <c r="J119" s="3">
        <v>5.0000000000000001E-3</v>
      </c>
      <c r="K119" s="4">
        <v>46390</v>
      </c>
      <c r="L119" s="4">
        <v>-771</v>
      </c>
      <c r="M119" s="4">
        <v>5883</v>
      </c>
      <c r="N119" s="5">
        <v>231.6</v>
      </c>
      <c r="O119" s="2">
        <v>12</v>
      </c>
      <c r="P119" s="2">
        <v>6</v>
      </c>
      <c r="Q119" s="2">
        <v>2</v>
      </c>
      <c r="R119" s="2">
        <v>4</v>
      </c>
      <c r="S119" s="6">
        <v>0.5</v>
      </c>
      <c r="T119" s="6">
        <v>0.25900000000000001</v>
      </c>
      <c r="U119" s="6">
        <f t="shared" si="3"/>
        <v>0.24099999999999999</v>
      </c>
    </row>
    <row r="120" spans="1:21" x14ac:dyDescent="0.3">
      <c r="A120" s="2" t="s">
        <v>97</v>
      </c>
      <c r="B120" s="2">
        <v>9</v>
      </c>
      <c r="C120" s="2" t="s">
        <v>80</v>
      </c>
      <c r="D120" s="2" t="s">
        <v>24</v>
      </c>
      <c r="E120" s="2">
        <v>750</v>
      </c>
      <c r="F120" s="2">
        <v>900</v>
      </c>
      <c r="G120" s="2">
        <v>10</v>
      </c>
      <c r="H120" s="2">
        <v>10</v>
      </c>
      <c r="I120" s="2">
        <v>30</v>
      </c>
      <c r="J120" s="3">
        <v>5.0000000000000001E-3</v>
      </c>
      <c r="K120" s="4">
        <v>46380</v>
      </c>
      <c r="L120" s="4">
        <v>9444</v>
      </c>
      <c r="M120" s="4">
        <v>-4940</v>
      </c>
      <c r="N120" s="5">
        <v>-99.6</v>
      </c>
      <c r="O120" s="2">
        <v>28</v>
      </c>
      <c r="P120" s="2">
        <v>5</v>
      </c>
      <c r="Q120" s="2">
        <v>1</v>
      </c>
      <c r="R120" s="2">
        <v>22</v>
      </c>
      <c r="S120" s="6">
        <v>0.17899999999999999</v>
      </c>
      <c r="T120" s="6">
        <v>0.26800000000000002</v>
      </c>
      <c r="U120" s="6">
        <f t="shared" si="3"/>
        <v>-8.9000000000000024E-2</v>
      </c>
    </row>
    <row r="121" spans="1:21" x14ac:dyDescent="0.3">
      <c r="A121" s="2" t="s">
        <v>97</v>
      </c>
      <c r="B121" s="2">
        <v>10</v>
      </c>
      <c r="C121" s="2" t="s">
        <v>22</v>
      </c>
      <c r="D121" s="2" t="s">
        <v>25</v>
      </c>
      <c r="E121" s="2">
        <v>150</v>
      </c>
      <c r="F121" s="2">
        <v>930</v>
      </c>
      <c r="G121" s="2">
        <v>10</v>
      </c>
      <c r="H121" s="2">
        <v>10</v>
      </c>
      <c r="I121" s="2">
        <v>30</v>
      </c>
      <c r="J121" s="3">
        <v>5.0000000000000001E-3</v>
      </c>
      <c r="K121" s="4">
        <v>45596</v>
      </c>
      <c r="L121" s="4">
        <v>5009</v>
      </c>
      <c r="M121" s="4">
        <v>-5809</v>
      </c>
      <c r="N121" s="5">
        <v>-118.2</v>
      </c>
      <c r="O121" s="2">
        <v>26</v>
      </c>
      <c r="P121" s="2">
        <v>4</v>
      </c>
      <c r="Q121" s="2">
        <v>3</v>
      </c>
      <c r="R121" s="2">
        <v>19</v>
      </c>
      <c r="S121" s="6">
        <v>0.154</v>
      </c>
      <c r="T121" s="6">
        <v>0.26800000000000002</v>
      </c>
      <c r="U121" s="6">
        <f t="shared" si="3"/>
        <v>-0.11400000000000002</v>
      </c>
    </row>
    <row r="122" spans="1:21" x14ac:dyDescent="0.3">
      <c r="A122" s="2" t="s">
        <v>100</v>
      </c>
      <c r="B122" s="2">
        <v>1</v>
      </c>
      <c r="C122" s="2" t="s">
        <v>74</v>
      </c>
      <c r="D122" s="2" t="s">
        <v>61</v>
      </c>
      <c r="E122" s="2">
        <v>10</v>
      </c>
      <c r="F122" s="2">
        <v>1080</v>
      </c>
      <c r="G122" s="2">
        <v>20</v>
      </c>
      <c r="H122" s="2">
        <v>10</v>
      </c>
      <c r="I122" s="2">
        <v>30</v>
      </c>
      <c r="J122" s="3">
        <v>5.0000000000000001E-3</v>
      </c>
      <c r="K122" s="4">
        <v>69758</v>
      </c>
      <c r="L122" s="4">
        <v>6066</v>
      </c>
      <c r="M122" s="4">
        <v>-3248</v>
      </c>
      <c r="N122" s="5">
        <v>-64.7</v>
      </c>
      <c r="O122" s="2">
        <v>21</v>
      </c>
      <c r="P122" s="2">
        <v>4</v>
      </c>
      <c r="Q122" s="2">
        <v>9</v>
      </c>
      <c r="R122" s="2">
        <v>8</v>
      </c>
      <c r="S122" s="6">
        <v>0.19</v>
      </c>
      <c r="T122" s="6">
        <v>0.26800000000000002</v>
      </c>
      <c r="U122" s="6">
        <f t="shared" si="3"/>
        <v>-7.8000000000000014E-2</v>
      </c>
    </row>
    <row r="123" spans="1:21" x14ac:dyDescent="0.3">
      <c r="A123" s="2" t="s">
        <v>100</v>
      </c>
      <c r="B123" s="2">
        <v>2</v>
      </c>
      <c r="C123" s="2" t="s">
        <v>96</v>
      </c>
      <c r="D123" s="2" t="s">
        <v>47</v>
      </c>
      <c r="E123" s="2">
        <v>15</v>
      </c>
      <c r="F123" s="2">
        <v>1020</v>
      </c>
      <c r="G123" s="2">
        <v>20</v>
      </c>
      <c r="H123" s="2">
        <v>10</v>
      </c>
      <c r="I123" s="2">
        <v>30</v>
      </c>
      <c r="J123" s="3">
        <v>5.0000000000000001E-3</v>
      </c>
      <c r="K123" s="4">
        <v>57232</v>
      </c>
      <c r="L123" s="4">
        <v>6066</v>
      </c>
      <c r="M123" s="4">
        <v>-1831</v>
      </c>
      <c r="N123" s="5">
        <v>-35.4</v>
      </c>
      <c r="O123" s="2">
        <v>22</v>
      </c>
      <c r="P123" s="2">
        <v>5</v>
      </c>
      <c r="Q123" s="2">
        <v>8</v>
      </c>
      <c r="R123" s="2">
        <v>9</v>
      </c>
      <c r="S123" s="6">
        <v>0.22700000000000001</v>
      </c>
      <c r="T123" s="6">
        <v>0.26800000000000002</v>
      </c>
      <c r="U123" s="6">
        <f t="shared" si="3"/>
        <v>-4.1000000000000009E-2</v>
      </c>
    </row>
    <row r="124" spans="1:21" x14ac:dyDescent="0.3">
      <c r="A124" s="2" t="s">
        <v>100</v>
      </c>
      <c r="B124" s="2">
        <v>3</v>
      </c>
      <c r="C124" s="2" t="s">
        <v>101</v>
      </c>
      <c r="D124" s="2" t="s">
        <v>62</v>
      </c>
      <c r="E124" s="2">
        <v>510</v>
      </c>
      <c r="F124" s="2">
        <v>690</v>
      </c>
      <c r="G124" s="2">
        <v>20</v>
      </c>
      <c r="H124" s="2">
        <v>15</v>
      </c>
      <c r="I124" s="2">
        <v>40</v>
      </c>
      <c r="J124" s="3">
        <v>5.0000000000000001E-3</v>
      </c>
      <c r="K124" s="4">
        <v>53673</v>
      </c>
      <c r="L124" s="4">
        <v>7534</v>
      </c>
      <c r="M124" s="4">
        <v>5833</v>
      </c>
      <c r="N124" s="5">
        <v>173.2</v>
      </c>
      <c r="O124" s="2">
        <v>24</v>
      </c>
      <c r="P124" s="2">
        <v>10</v>
      </c>
      <c r="Q124" s="2">
        <v>9</v>
      </c>
      <c r="R124" s="2">
        <v>5</v>
      </c>
      <c r="S124" s="6">
        <v>0.41699999999999998</v>
      </c>
      <c r="T124" s="6">
        <v>0.28499999999999998</v>
      </c>
      <c r="U124" s="6">
        <f t="shared" si="3"/>
        <v>0.13200000000000001</v>
      </c>
    </row>
    <row r="125" spans="1:21" x14ac:dyDescent="0.3">
      <c r="A125" s="2" t="s">
        <v>100</v>
      </c>
      <c r="B125" s="2">
        <v>4</v>
      </c>
      <c r="C125" s="2" t="s">
        <v>95</v>
      </c>
      <c r="D125" s="2" t="s">
        <v>84</v>
      </c>
      <c r="E125" s="2">
        <v>990</v>
      </c>
      <c r="F125" s="2">
        <v>1320</v>
      </c>
      <c r="G125" s="2">
        <v>10</v>
      </c>
      <c r="H125" s="2">
        <v>10</v>
      </c>
      <c r="I125" s="2">
        <v>30</v>
      </c>
      <c r="J125" s="3">
        <v>5.0000000000000001E-3</v>
      </c>
      <c r="K125" s="4">
        <v>51581</v>
      </c>
      <c r="L125" s="4">
        <v>3099</v>
      </c>
      <c r="M125" s="4">
        <v>-3248</v>
      </c>
      <c r="N125" s="5">
        <v>-64.7</v>
      </c>
      <c r="O125" s="2">
        <v>21</v>
      </c>
      <c r="P125" s="2">
        <v>4</v>
      </c>
      <c r="Q125" s="2">
        <v>10</v>
      </c>
      <c r="R125" s="2">
        <v>7</v>
      </c>
      <c r="S125" s="6">
        <v>0.19</v>
      </c>
      <c r="T125" s="6">
        <v>0.26800000000000002</v>
      </c>
      <c r="U125" s="6">
        <f t="shared" si="3"/>
        <v>-7.8000000000000014E-2</v>
      </c>
    </row>
    <row r="126" spans="1:21" x14ac:dyDescent="0.3">
      <c r="A126" s="2" t="s">
        <v>100</v>
      </c>
      <c r="B126" s="2">
        <v>5</v>
      </c>
      <c r="C126" s="2" t="s">
        <v>78</v>
      </c>
      <c r="D126" s="2" t="s">
        <v>98</v>
      </c>
      <c r="E126" s="2">
        <v>1560</v>
      </c>
      <c r="F126" s="2">
        <v>1860</v>
      </c>
      <c r="G126" s="2">
        <v>25</v>
      </c>
      <c r="H126" s="2">
        <v>15</v>
      </c>
      <c r="I126" s="2">
        <v>40</v>
      </c>
      <c r="J126" s="3">
        <v>5.0000000000000001E-3</v>
      </c>
      <c r="K126" s="4">
        <v>50659</v>
      </c>
      <c r="L126" s="4">
        <v>3416</v>
      </c>
      <c r="M126" s="4">
        <v>-2609</v>
      </c>
      <c r="N126" s="5">
        <v>-78.400000000000006</v>
      </c>
      <c r="O126" s="2">
        <v>12</v>
      </c>
      <c r="P126" s="2">
        <v>2</v>
      </c>
      <c r="Q126" s="2">
        <v>2</v>
      </c>
      <c r="R126" s="2">
        <v>8</v>
      </c>
      <c r="S126" s="6">
        <v>0.16700000000000001</v>
      </c>
      <c r="T126" s="6">
        <v>0.28499999999999998</v>
      </c>
      <c r="U126" s="6">
        <f t="shared" si="3"/>
        <v>-0.11799999999999997</v>
      </c>
    </row>
    <row r="127" spans="1:21" x14ac:dyDescent="0.3">
      <c r="A127" s="2" t="s">
        <v>100</v>
      </c>
      <c r="B127" s="2">
        <v>6</v>
      </c>
      <c r="C127" s="2" t="s">
        <v>61</v>
      </c>
      <c r="D127" s="2" t="s">
        <v>68</v>
      </c>
      <c r="E127" s="2">
        <v>1080</v>
      </c>
      <c r="F127" s="2">
        <v>1200</v>
      </c>
      <c r="G127" s="2">
        <v>10</v>
      </c>
      <c r="H127" s="2">
        <v>10</v>
      </c>
      <c r="I127" s="2">
        <v>30</v>
      </c>
      <c r="J127" s="3">
        <v>5.0000000000000001E-3</v>
      </c>
      <c r="K127" s="4">
        <v>48772</v>
      </c>
      <c r="L127" s="4">
        <v>526</v>
      </c>
      <c r="M127" s="4">
        <v>3493</v>
      </c>
      <c r="N127" s="5">
        <v>71.099999999999994</v>
      </c>
      <c r="O127" s="2">
        <v>27</v>
      </c>
      <c r="P127" s="2">
        <v>9</v>
      </c>
      <c r="Q127" s="2">
        <v>7</v>
      </c>
      <c r="R127" s="2">
        <v>11</v>
      </c>
      <c r="S127" s="6">
        <v>0.33300000000000002</v>
      </c>
      <c r="T127" s="6">
        <v>0.26800000000000002</v>
      </c>
      <c r="U127" s="6">
        <f t="shared" si="3"/>
        <v>6.5000000000000002E-2</v>
      </c>
    </row>
    <row r="128" spans="1:21" x14ac:dyDescent="0.3">
      <c r="A128" s="2" t="s">
        <v>100</v>
      </c>
      <c r="B128" s="2">
        <v>7</v>
      </c>
      <c r="C128" s="2" t="s">
        <v>96</v>
      </c>
      <c r="D128" s="2" t="s">
        <v>61</v>
      </c>
      <c r="E128" s="2">
        <v>15</v>
      </c>
      <c r="F128" s="2">
        <v>1080</v>
      </c>
      <c r="G128" s="2">
        <v>20</v>
      </c>
      <c r="H128" s="2">
        <v>10</v>
      </c>
      <c r="I128" s="2">
        <v>30</v>
      </c>
      <c r="J128" s="3">
        <v>5.0000000000000001E-3</v>
      </c>
      <c r="K128" s="4">
        <v>48240</v>
      </c>
      <c r="L128" s="4">
        <v>6066</v>
      </c>
      <c r="M128" s="4">
        <v>-1303</v>
      </c>
      <c r="N128" s="5">
        <v>-24.7</v>
      </c>
      <c r="O128" s="2">
        <v>21</v>
      </c>
      <c r="P128" s="2">
        <v>5</v>
      </c>
      <c r="Q128" s="2">
        <v>10</v>
      </c>
      <c r="R128" s="2">
        <v>6</v>
      </c>
      <c r="S128" s="6">
        <v>0.23799999999999999</v>
      </c>
      <c r="T128" s="6">
        <v>0.26800000000000002</v>
      </c>
      <c r="U128" s="6">
        <f t="shared" si="3"/>
        <v>-3.0000000000000027E-2</v>
      </c>
    </row>
    <row r="129" spans="1:21" x14ac:dyDescent="0.3">
      <c r="A129" s="2" t="s">
        <v>100</v>
      </c>
      <c r="B129" s="2">
        <v>8</v>
      </c>
      <c r="C129" s="2" t="s">
        <v>38</v>
      </c>
      <c r="D129" s="2" t="s">
        <v>91</v>
      </c>
      <c r="E129" s="2">
        <v>1</v>
      </c>
      <c r="F129" s="2">
        <v>570</v>
      </c>
      <c r="G129" s="2">
        <v>15</v>
      </c>
      <c r="H129" s="2">
        <v>20</v>
      </c>
      <c r="I129" s="2">
        <v>60</v>
      </c>
      <c r="J129" s="3">
        <v>5.0000000000000001E-3</v>
      </c>
      <c r="K129" s="4">
        <v>48168</v>
      </c>
      <c r="L129" s="4">
        <v>5883</v>
      </c>
      <c r="M129" s="4">
        <v>1578</v>
      </c>
      <c r="N129" s="5">
        <v>66</v>
      </c>
      <c r="O129" s="2">
        <v>20</v>
      </c>
      <c r="P129" s="2">
        <v>6</v>
      </c>
      <c r="Q129" s="2">
        <v>4</v>
      </c>
      <c r="R129" s="2">
        <v>10</v>
      </c>
      <c r="S129" s="6">
        <v>0.3</v>
      </c>
      <c r="T129" s="6">
        <v>0.25900000000000001</v>
      </c>
      <c r="U129" s="6">
        <f t="shared" si="3"/>
        <v>4.0999999999999981E-2</v>
      </c>
    </row>
    <row r="130" spans="1:21" x14ac:dyDescent="0.3">
      <c r="A130" s="2" t="s">
        <v>100</v>
      </c>
      <c r="B130" s="2">
        <v>9</v>
      </c>
      <c r="C130" s="2" t="s">
        <v>102</v>
      </c>
      <c r="D130" s="2" t="s">
        <v>63</v>
      </c>
      <c r="E130" s="2">
        <v>9</v>
      </c>
      <c r="F130" s="2">
        <v>1470</v>
      </c>
      <c r="G130" s="2">
        <v>15</v>
      </c>
      <c r="H130" s="2">
        <v>20</v>
      </c>
      <c r="I130" s="2">
        <v>60</v>
      </c>
      <c r="J130" s="3">
        <v>5.0000000000000001E-3</v>
      </c>
      <c r="K130" s="4">
        <v>47862</v>
      </c>
      <c r="L130" s="4">
        <v>1837</v>
      </c>
      <c r="M130" s="4">
        <v>2193</v>
      </c>
      <c r="N130" s="5">
        <v>89.5</v>
      </c>
      <c r="O130" s="2">
        <v>15</v>
      </c>
      <c r="P130" s="2">
        <v>5</v>
      </c>
      <c r="Q130" s="2">
        <v>5</v>
      </c>
      <c r="R130" s="2">
        <v>5</v>
      </c>
      <c r="S130" s="6">
        <v>0.33300000000000002</v>
      </c>
      <c r="T130" s="6">
        <v>0.25900000000000001</v>
      </c>
      <c r="U130" s="6">
        <f t="shared" ref="U130:U161" si="4">S130-T130</f>
        <v>7.400000000000001E-2</v>
      </c>
    </row>
    <row r="131" spans="1:21" x14ac:dyDescent="0.3">
      <c r="A131" s="2" t="s">
        <v>100</v>
      </c>
      <c r="B131" s="2">
        <v>10</v>
      </c>
      <c r="C131" s="2" t="s">
        <v>74</v>
      </c>
      <c r="D131" s="2" t="s">
        <v>103</v>
      </c>
      <c r="E131" s="2">
        <v>10</v>
      </c>
      <c r="F131" s="2">
        <v>600</v>
      </c>
      <c r="G131" s="2">
        <v>20</v>
      </c>
      <c r="H131" s="2">
        <v>10</v>
      </c>
      <c r="I131" s="2">
        <v>20</v>
      </c>
      <c r="J131" s="3">
        <v>5.0000000000000001E-3</v>
      </c>
      <c r="K131" s="4">
        <v>47596</v>
      </c>
      <c r="L131" s="4">
        <v>3333</v>
      </c>
      <c r="M131" s="4">
        <v>2754</v>
      </c>
      <c r="N131" s="5">
        <v>56.2</v>
      </c>
      <c r="O131" s="2">
        <v>34</v>
      </c>
      <c r="P131" s="2">
        <v>14</v>
      </c>
      <c r="Q131" s="2">
        <v>8</v>
      </c>
      <c r="R131" s="2">
        <v>12</v>
      </c>
      <c r="S131" s="6">
        <v>0.41199999999999998</v>
      </c>
      <c r="T131" s="6">
        <v>0.35699999999999998</v>
      </c>
      <c r="U131" s="6">
        <f t="shared" si="4"/>
        <v>5.4999999999999993E-2</v>
      </c>
    </row>
    <row r="132" spans="1:21" x14ac:dyDescent="0.3">
      <c r="A132" s="2" t="s">
        <v>104</v>
      </c>
      <c r="B132" s="2">
        <v>1</v>
      </c>
      <c r="C132" s="2" t="s">
        <v>101</v>
      </c>
      <c r="D132" s="2" t="s">
        <v>62</v>
      </c>
      <c r="E132" s="2">
        <v>510</v>
      </c>
      <c r="F132" s="2">
        <v>690</v>
      </c>
      <c r="G132" s="2">
        <v>20</v>
      </c>
      <c r="H132" s="2">
        <v>15</v>
      </c>
      <c r="I132" s="2">
        <v>40</v>
      </c>
      <c r="J132" s="3">
        <v>5.0000000000000001E-3</v>
      </c>
      <c r="K132" s="4">
        <v>68825</v>
      </c>
      <c r="L132" s="4">
        <v>5833</v>
      </c>
      <c r="M132" s="4">
        <v>3677</v>
      </c>
      <c r="N132" s="5">
        <v>110.2</v>
      </c>
      <c r="O132" s="2">
        <v>14</v>
      </c>
      <c r="P132" s="2">
        <v>6</v>
      </c>
      <c r="Q132" s="2">
        <v>4</v>
      </c>
      <c r="R132" s="2">
        <v>4</v>
      </c>
      <c r="S132" s="6">
        <v>0.42899999999999999</v>
      </c>
      <c r="T132" s="6">
        <v>0.28499999999999998</v>
      </c>
      <c r="U132" s="6">
        <f t="shared" si="4"/>
        <v>0.14400000000000002</v>
      </c>
    </row>
    <row r="133" spans="1:21" x14ac:dyDescent="0.3">
      <c r="A133" s="2" t="s">
        <v>104</v>
      </c>
      <c r="B133" s="2">
        <v>2</v>
      </c>
      <c r="C133" s="2" t="s">
        <v>89</v>
      </c>
      <c r="D133" s="2" t="s">
        <v>36</v>
      </c>
      <c r="E133" s="2">
        <v>30</v>
      </c>
      <c r="F133" s="2">
        <v>450</v>
      </c>
      <c r="G133" s="2">
        <v>20</v>
      </c>
      <c r="H133" s="2">
        <v>10</v>
      </c>
      <c r="I133" s="2">
        <v>30</v>
      </c>
      <c r="J133" s="3">
        <v>5.0000000000000001E-3</v>
      </c>
      <c r="K133" s="4">
        <v>59480</v>
      </c>
      <c r="L133" s="4">
        <v>1841</v>
      </c>
      <c r="M133" s="4">
        <v>299</v>
      </c>
      <c r="N133" s="5">
        <v>7.4</v>
      </c>
      <c r="O133" s="2">
        <v>18</v>
      </c>
      <c r="P133" s="2">
        <v>5</v>
      </c>
      <c r="Q133" s="2">
        <v>4</v>
      </c>
      <c r="R133" s="2">
        <v>9</v>
      </c>
      <c r="S133" s="6">
        <v>0.27800000000000002</v>
      </c>
      <c r="T133" s="6">
        <v>0.26800000000000002</v>
      </c>
      <c r="U133" s="6">
        <f t="shared" si="4"/>
        <v>1.0000000000000009E-2</v>
      </c>
    </row>
    <row r="134" spans="1:21" x14ac:dyDescent="0.3">
      <c r="A134" s="2" t="s">
        <v>104</v>
      </c>
      <c r="B134" s="2">
        <v>3</v>
      </c>
      <c r="C134" s="2" t="s">
        <v>74</v>
      </c>
      <c r="D134" s="2" t="s">
        <v>62</v>
      </c>
      <c r="E134" s="2">
        <v>10</v>
      </c>
      <c r="F134" s="2">
        <v>690</v>
      </c>
      <c r="G134" s="2">
        <v>15</v>
      </c>
      <c r="H134" s="2">
        <v>20</v>
      </c>
      <c r="I134" s="2">
        <v>60</v>
      </c>
      <c r="J134" s="3">
        <v>5.0000000000000001E-3</v>
      </c>
      <c r="K134" s="4">
        <v>55912</v>
      </c>
      <c r="L134" s="4">
        <v>7829</v>
      </c>
      <c r="M134" s="4">
        <v>-686</v>
      </c>
      <c r="N134" s="5">
        <v>-26.3</v>
      </c>
      <c r="O134" s="2">
        <v>9</v>
      </c>
      <c r="P134" s="2">
        <v>2</v>
      </c>
      <c r="Q134" s="2">
        <v>0</v>
      </c>
      <c r="R134" s="2">
        <v>7</v>
      </c>
      <c r="S134" s="6">
        <v>0.222</v>
      </c>
      <c r="T134" s="6">
        <v>0.25900000000000001</v>
      </c>
      <c r="U134" s="6">
        <f t="shared" si="4"/>
        <v>-3.7000000000000005E-2</v>
      </c>
    </row>
    <row r="135" spans="1:21" x14ac:dyDescent="0.3">
      <c r="A135" s="2" t="s">
        <v>104</v>
      </c>
      <c r="B135" s="2">
        <v>4</v>
      </c>
      <c r="C135" s="2" t="s">
        <v>96</v>
      </c>
      <c r="D135" s="2" t="s">
        <v>47</v>
      </c>
      <c r="E135" s="2">
        <v>15</v>
      </c>
      <c r="F135" s="2">
        <v>1020</v>
      </c>
      <c r="G135" s="2">
        <v>20</v>
      </c>
      <c r="H135" s="2">
        <v>10</v>
      </c>
      <c r="I135" s="2">
        <v>30</v>
      </c>
      <c r="J135" s="3">
        <v>5.0000000000000001E-3</v>
      </c>
      <c r="K135" s="4">
        <v>55684</v>
      </c>
      <c r="L135" s="4">
        <v>-1831</v>
      </c>
      <c r="M135" s="4">
        <v>4934</v>
      </c>
      <c r="N135" s="5">
        <v>98.1</v>
      </c>
      <c r="O135" s="2">
        <v>17</v>
      </c>
      <c r="P135" s="2">
        <v>7</v>
      </c>
      <c r="Q135" s="2">
        <v>3</v>
      </c>
      <c r="R135" s="2">
        <v>7</v>
      </c>
      <c r="S135" s="6">
        <v>0.41199999999999998</v>
      </c>
      <c r="T135" s="6">
        <v>0.26800000000000002</v>
      </c>
      <c r="U135" s="6">
        <f t="shared" si="4"/>
        <v>0.14399999999999996</v>
      </c>
    </row>
    <row r="136" spans="1:21" x14ac:dyDescent="0.3">
      <c r="A136" s="2" t="s">
        <v>104</v>
      </c>
      <c r="B136" s="2">
        <v>5</v>
      </c>
      <c r="C136" s="2" t="s">
        <v>74</v>
      </c>
      <c r="D136" s="2" t="s">
        <v>61</v>
      </c>
      <c r="E136" s="2">
        <v>10</v>
      </c>
      <c r="F136" s="2">
        <v>1080</v>
      </c>
      <c r="G136" s="2">
        <v>20</v>
      </c>
      <c r="H136" s="2">
        <v>10</v>
      </c>
      <c r="I136" s="2">
        <v>30</v>
      </c>
      <c r="J136" s="3">
        <v>5.0000000000000001E-3</v>
      </c>
      <c r="K136" s="4">
        <v>55220</v>
      </c>
      <c r="L136" s="4">
        <v>-3248</v>
      </c>
      <c r="M136" s="4">
        <v>4373</v>
      </c>
      <c r="N136" s="5">
        <v>87.4</v>
      </c>
      <c r="O136" s="2">
        <v>18</v>
      </c>
      <c r="P136" s="2">
        <v>7</v>
      </c>
      <c r="Q136" s="2">
        <v>4</v>
      </c>
      <c r="R136" s="2">
        <v>7</v>
      </c>
      <c r="S136" s="6">
        <v>0.38900000000000001</v>
      </c>
      <c r="T136" s="6">
        <v>0.26800000000000002</v>
      </c>
      <c r="U136" s="6">
        <f t="shared" si="4"/>
        <v>0.121</v>
      </c>
    </row>
    <row r="137" spans="1:21" x14ac:dyDescent="0.3">
      <c r="A137" s="2" t="s">
        <v>104</v>
      </c>
      <c r="B137" s="2">
        <v>6</v>
      </c>
      <c r="C137" s="2" t="s">
        <v>36</v>
      </c>
      <c r="D137" s="2" t="s">
        <v>50</v>
      </c>
      <c r="E137" s="2">
        <v>450</v>
      </c>
      <c r="F137" s="2">
        <v>810</v>
      </c>
      <c r="G137" s="2">
        <v>20</v>
      </c>
      <c r="H137" s="2">
        <v>20</v>
      </c>
      <c r="I137" s="2">
        <v>60</v>
      </c>
      <c r="J137" s="3">
        <v>5.0000000000000001E-3</v>
      </c>
      <c r="K137" s="4">
        <v>54404</v>
      </c>
      <c r="L137" s="4">
        <v>10663</v>
      </c>
      <c r="M137" s="4">
        <v>-4562</v>
      </c>
      <c r="N137" s="5">
        <v>-186.3</v>
      </c>
      <c r="O137" s="2">
        <v>9</v>
      </c>
      <c r="P137" s="2">
        <v>0</v>
      </c>
      <c r="Q137" s="2">
        <v>3</v>
      </c>
      <c r="R137" s="2">
        <v>6</v>
      </c>
      <c r="S137" s="6">
        <v>0</v>
      </c>
      <c r="T137" s="6">
        <v>0.25900000000000001</v>
      </c>
      <c r="U137" s="6">
        <f t="shared" si="4"/>
        <v>-0.25900000000000001</v>
      </c>
    </row>
    <row r="138" spans="1:21" x14ac:dyDescent="0.3">
      <c r="A138" s="2" t="s">
        <v>104</v>
      </c>
      <c r="B138" s="2">
        <v>7</v>
      </c>
      <c r="C138" s="2" t="s">
        <v>82</v>
      </c>
      <c r="D138" s="2" t="s">
        <v>105</v>
      </c>
      <c r="E138" s="2">
        <v>3</v>
      </c>
      <c r="F138" s="2">
        <v>1350</v>
      </c>
      <c r="G138" s="2">
        <v>15</v>
      </c>
      <c r="H138" s="2">
        <v>20</v>
      </c>
      <c r="I138" s="2">
        <v>60</v>
      </c>
      <c r="J138" s="3">
        <v>5.0000000000000001E-3</v>
      </c>
      <c r="K138" s="4">
        <v>53867</v>
      </c>
      <c r="L138" s="4">
        <v>4248</v>
      </c>
      <c r="M138" s="4">
        <v>-1200</v>
      </c>
      <c r="N138" s="5">
        <v>-47</v>
      </c>
      <c r="O138" s="2">
        <v>10</v>
      </c>
      <c r="P138" s="2">
        <v>2</v>
      </c>
      <c r="Q138" s="2">
        <v>2</v>
      </c>
      <c r="R138" s="2">
        <v>6</v>
      </c>
      <c r="S138" s="6">
        <v>0.2</v>
      </c>
      <c r="T138" s="6">
        <v>0.25900000000000001</v>
      </c>
      <c r="U138" s="6">
        <f t="shared" si="4"/>
        <v>-5.8999999999999997E-2</v>
      </c>
    </row>
    <row r="139" spans="1:21" x14ac:dyDescent="0.3">
      <c r="A139" s="2" t="s">
        <v>104</v>
      </c>
      <c r="B139" s="2">
        <v>8</v>
      </c>
      <c r="C139" s="2" t="s">
        <v>106</v>
      </c>
      <c r="D139" s="2" t="s">
        <v>40</v>
      </c>
      <c r="E139" s="2">
        <v>25</v>
      </c>
      <c r="F139" s="2">
        <v>360</v>
      </c>
      <c r="G139" s="2">
        <v>15</v>
      </c>
      <c r="H139" s="2">
        <v>20</v>
      </c>
      <c r="I139" s="2">
        <v>60</v>
      </c>
      <c r="J139" s="3">
        <v>5.0000000000000001E-3</v>
      </c>
      <c r="K139" s="4">
        <v>53794</v>
      </c>
      <c r="L139" s="4">
        <v>11627</v>
      </c>
      <c r="M139" s="4">
        <v>-1712</v>
      </c>
      <c r="N139" s="5">
        <v>-67.7</v>
      </c>
      <c r="O139" s="2">
        <v>11</v>
      </c>
      <c r="P139" s="2">
        <v>2</v>
      </c>
      <c r="Q139" s="2">
        <v>1</v>
      </c>
      <c r="R139" s="2">
        <v>8</v>
      </c>
      <c r="S139" s="6">
        <v>0.182</v>
      </c>
      <c r="T139" s="6">
        <v>0.25900000000000001</v>
      </c>
      <c r="U139" s="6">
        <f t="shared" si="4"/>
        <v>-7.7000000000000013E-2</v>
      </c>
    </row>
    <row r="140" spans="1:21" x14ac:dyDescent="0.3">
      <c r="A140" s="2" t="s">
        <v>104</v>
      </c>
      <c r="B140" s="2">
        <v>9</v>
      </c>
      <c r="C140" s="2" t="s">
        <v>36</v>
      </c>
      <c r="D140" s="2" t="s">
        <v>80</v>
      </c>
      <c r="E140" s="2">
        <v>450</v>
      </c>
      <c r="F140" s="2">
        <v>750</v>
      </c>
      <c r="G140" s="2">
        <v>20</v>
      </c>
      <c r="H140" s="2">
        <v>20</v>
      </c>
      <c r="I140" s="2">
        <v>60</v>
      </c>
      <c r="J140" s="3">
        <v>5.0000000000000001E-3</v>
      </c>
      <c r="K140" s="4">
        <v>53345</v>
      </c>
      <c r="L140" s="4">
        <v>7920</v>
      </c>
      <c r="M140" s="4">
        <v>1837</v>
      </c>
      <c r="N140" s="5">
        <v>74.400000000000006</v>
      </c>
      <c r="O140" s="2">
        <v>8</v>
      </c>
      <c r="P140" s="2">
        <v>3</v>
      </c>
      <c r="Q140" s="2">
        <v>1</v>
      </c>
      <c r="R140" s="2">
        <v>4</v>
      </c>
      <c r="S140" s="6">
        <v>0.375</v>
      </c>
      <c r="T140" s="6">
        <v>0.25900000000000001</v>
      </c>
      <c r="U140" s="6">
        <f t="shared" si="4"/>
        <v>0.11599999999999999</v>
      </c>
    </row>
    <row r="141" spans="1:21" x14ac:dyDescent="0.3">
      <c r="A141" s="2" t="s">
        <v>104</v>
      </c>
      <c r="B141" s="2">
        <v>10</v>
      </c>
      <c r="C141" s="2" t="s">
        <v>36</v>
      </c>
      <c r="D141" s="2" t="s">
        <v>53</v>
      </c>
      <c r="E141" s="2">
        <v>450</v>
      </c>
      <c r="F141" s="2">
        <v>720</v>
      </c>
      <c r="G141" s="2">
        <v>20</v>
      </c>
      <c r="H141" s="2">
        <v>15</v>
      </c>
      <c r="I141" s="2">
        <v>40</v>
      </c>
      <c r="J141" s="3">
        <v>5.0000000000000001E-3</v>
      </c>
      <c r="K141" s="4">
        <v>53286</v>
      </c>
      <c r="L141" s="4">
        <v>8350</v>
      </c>
      <c r="M141" s="4">
        <v>7534</v>
      </c>
      <c r="N141" s="5">
        <v>220.2</v>
      </c>
      <c r="O141" s="2">
        <v>14</v>
      </c>
      <c r="P141" s="2">
        <v>8</v>
      </c>
      <c r="Q141" s="2">
        <v>3</v>
      </c>
      <c r="R141" s="2">
        <v>3</v>
      </c>
      <c r="S141" s="6">
        <v>0.57100000000000006</v>
      </c>
      <c r="T141" s="6">
        <v>0.28499999999999998</v>
      </c>
      <c r="U141" s="6">
        <f t="shared" si="4"/>
        <v>0.28600000000000009</v>
      </c>
    </row>
    <row r="142" spans="1:21" x14ac:dyDescent="0.3">
      <c r="A142" s="2" t="s">
        <v>107</v>
      </c>
      <c r="B142" s="2">
        <v>1</v>
      </c>
      <c r="C142" s="2" t="s">
        <v>76</v>
      </c>
      <c r="D142" s="2" t="s">
        <v>53</v>
      </c>
      <c r="E142" s="2">
        <v>5</v>
      </c>
      <c r="F142" s="2">
        <v>720</v>
      </c>
      <c r="G142" s="2">
        <v>15</v>
      </c>
      <c r="H142" s="2">
        <v>10</v>
      </c>
      <c r="I142" s="2">
        <v>30</v>
      </c>
      <c r="J142" s="3">
        <v>5.0000000000000001E-3</v>
      </c>
      <c r="K142" s="4">
        <v>71366</v>
      </c>
      <c r="L142" s="4">
        <v>10453</v>
      </c>
      <c r="M142" s="4">
        <v>1756</v>
      </c>
      <c r="N142" s="5">
        <v>38.5</v>
      </c>
      <c r="O142" s="2">
        <v>45</v>
      </c>
      <c r="P142" s="2">
        <v>13</v>
      </c>
      <c r="Q142" s="2">
        <v>7</v>
      </c>
      <c r="R142" s="2">
        <v>25</v>
      </c>
      <c r="S142" s="6">
        <v>0.28899999999999998</v>
      </c>
      <c r="T142" s="6">
        <v>0.26800000000000002</v>
      </c>
      <c r="U142" s="6">
        <f t="shared" si="4"/>
        <v>2.0999999999999963E-2</v>
      </c>
    </row>
    <row r="143" spans="1:21" x14ac:dyDescent="0.3">
      <c r="A143" s="2" t="s">
        <v>107</v>
      </c>
      <c r="B143" s="2">
        <v>2</v>
      </c>
      <c r="C143" s="2" t="s">
        <v>102</v>
      </c>
      <c r="D143" s="2" t="s">
        <v>103</v>
      </c>
      <c r="E143" s="2">
        <v>9</v>
      </c>
      <c r="F143" s="2">
        <v>600</v>
      </c>
      <c r="G143" s="2">
        <v>20</v>
      </c>
      <c r="H143" s="2">
        <v>10</v>
      </c>
      <c r="I143" s="2">
        <v>30</v>
      </c>
      <c r="J143" s="3">
        <v>5.0000000000000001E-3</v>
      </c>
      <c r="K143" s="4">
        <v>70103</v>
      </c>
      <c r="L143" s="4">
        <v>12849</v>
      </c>
      <c r="M143" s="4">
        <v>60</v>
      </c>
      <c r="N143" s="5">
        <v>4.0999999999999996</v>
      </c>
      <c r="O143" s="2">
        <v>37</v>
      </c>
      <c r="P143" s="2">
        <v>10</v>
      </c>
      <c r="Q143" s="2">
        <v>7</v>
      </c>
      <c r="R143" s="2">
        <v>20</v>
      </c>
      <c r="S143" s="6">
        <v>0.27</v>
      </c>
      <c r="T143" s="6">
        <v>0.26800000000000002</v>
      </c>
      <c r="U143" s="6">
        <f t="shared" si="4"/>
        <v>2.0000000000000018E-3</v>
      </c>
    </row>
    <row r="144" spans="1:21" x14ac:dyDescent="0.3">
      <c r="A144" s="2" t="s">
        <v>107</v>
      </c>
      <c r="B144" s="2">
        <v>3</v>
      </c>
      <c r="C144" s="2" t="s">
        <v>36</v>
      </c>
      <c r="D144" s="2" t="s">
        <v>53</v>
      </c>
      <c r="E144" s="2">
        <v>450</v>
      </c>
      <c r="F144" s="2">
        <v>720</v>
      </c>
      <c r="G144" s="2">
        <v>20</v>
      </c>
      <c r="H144" s="2">
        <v>15</v>
      </c>
      <c r="I144" s="2">
        <v>40</v>
      </c>
      <c r="J144" s="3">
        <v>5.0000000000000001E-3</v>
      </c>
      <c r="K144" s="4">
        <v>68435</v>
      </c>
      <c r="L144" s="4">
        <v>7534</v>
      </c>
      <c r="M144" s="4">
        <v>2532</v>
      </c>
      <c r="N144" s="5">
        <v>79.099999999999994</v>
      </c>
      <c r="O144" s="2">
        <v>37</v>
      </c>
      <c r="P144" s="2">
        <v>12</v>
      </c>
      <c r="Q144" s="2">
        <v>7</v>
      </c>
      <c r="R144" s="2">
        <v>18</v>
      </c>
      <c r="S144" s="6">
        <v>0.32400000000000001</v>
      </c>
      <c r="T144" s="6">
        <v>0.28499999999999998</v>
      </c>
      <c r="U144" s="6">
        <f t="shared" si="4"/>
        <v>3.9000000000000035E-2</v>
      </c>
    </row>
    <row r="145" spans="1:21" x14ac:dyDescent="0.3">
      <c r="A145" s="2" t="s">
        <v>107</v>
      </c>
      <c r="B145" s="2">
        <v>4</v>
      </c>
      <c r="C145" s="2" t="s">
        <v>101</v>
      </c>
      <c r="D145" s="2" t="s">
        <v>62</v>
      </c>
      <c r="E145" s="2">
        <v>510</v>
      </c>
      <c r="F145" s="2">
        <v>690</v>
      </c>
      <c r="G145" s="2">
        <v>20</v>
      </c>
      <c r="H145" s="2">
        <v>15</v>
      </c>
      <c r="I145" s="2">
        <v>40</v>
      </c>
      <c r="J145" s="3">
        <v>5.0000000000000001E-3</v>
      </c>
      <c r="K145" s="4">
        <v>67553</v>
      </c>
      <c r="L145" s="4">
        <v>3677</v>
      </c>
      <c r="M145" s="4">
        <v>-1146</v>
      </c>
      <c r="N145" s="5">
        <v>-30.9</v>
      </c>
      <c r="O145" s="2">
        <v>37</v>
      </c>
      <c r="P145" s="2">
        <v>10</v>
      </c>
      <c r="Q145" s="2">
        <v>7</v>
      </c>
      <c r="R145" s="2">
        <v>20</v>
      </c>
      <c r="S145" s="6">
        <v>0.27</v>
      </c>
      <c r="T145" s="6">
        <v>0.28499999999999998</v>
      </c>
      <c r="U145" s="6">
        <f t="shared" si="4"/>
        <v>-1.4999999999999958E-2</v>
      </c>
    </row>
    <row r="146" spans="1:21" x14ac:dyDescent="0.3">
      <c r="A146" s="2" t="s">
        <v>107</v>
      </c>
      <c r="B146" s="2">
        <v>5</v>
      </c>
      <c r="C146" s="2" t="s">
        <v>74</v>
      </c>
      <c r="D146" s="2" t="s">
        <v>103</v>
      </c>
      <c r="E146" s="2">
        <v>10</v>
      </c>
      <c r="F146" s="2">
        <v>600</v>
      </c>
      <c r="G146" s="2">
        <v>20</v>
      </c>
      <c r="H146" s="2">
        <v>10</v>
      </c>
      <c r="I146" s="2">
        <v>30</v>
      </c>
      <c r="J146" s="3">
        <v>5.0000000000000001E-3</v>
      </c>
      <c r="K146" s="4">
        <v>66115</v>
      </c>
      <c r="L146" s="4">
        <v>11220</v>
      </c>
      <c r="M146" s="4">
        <v>598</v>
      </c>
      <c r="N146" s="5">
        <v>14.8</v>
      </c>
      <c r="O146" s="2">
        <v>36</v>
      </c>
      <c r="P146" s="2">
        <v>10</v>
      </c>
      <c r="Q146" s="2">
        <v>6</v>
      </c>
      <c r="R146" s="2">
        <v>20</v>
      </c>
      <c r="S146" s="6">
        <v>0.27800000000000002</v>
      </c>
      <c r="T146" s="6">
        <v>0.26800000000000002</v>
      </c>
      <c r="U146" s="6">
        <f t="shared" si="4"/>
        <v>1.0000000000000009E-2</v>
      </c>
    </row>
    <row r="147" spans="1:21" x14ac:dyDescent="0.3">
      <c r="A147" s="2" t="s">
        <v>107</v>
      </c>
      <c r="B147" s="2">
        <v>6</v>
      </c>
      <c r="C147" s="2" t="s">
        <v>77</v>
      </c>
      <c r="D147" s="2" t="s">
        <v>80</v>
      </c>
      <c r="E147" s="2">
        <v>7</v>
      </c>
      <c r="F147" s="2">
        <v>750</v>
      </c>
      <c r="G147" s="2">
        <v>15</v>
      </c>
      <c r="H147" s="2">
        <v>10</v>
      </c>
      <c r="I147" s="2">
        <v>30</v>
      </c>
      <c r="J147" s="3">
        <v>5.0000000000000001E-3</v>
      </c>
      <c r="K147" s="4">
        <v>65958</v>
      </c>
      <c r="L147" s="4">
        <v>6713</v>
      </c>
      <c r="M147" s="4">
        <v>-2216</v>
      </c>
      <c r="N147" s="5">
        <v>-41.5</v>
      </c>
      <c r="O147" s="2">
        <v>45</v>
      </c>
      <c r="P147" s="2">
        <v>11</v>
      </c>
      <c r="Q147" s="2">
        <v>9</v>
      </c>
      <c r="R147" s="2">
        <v>25</v>
      </c>
      <c r="S147" s="6">
        <v>0.24399999999999999</v>
      </c>
      <c r="T147" s="6">
        <v>0.26800000000000002</v>
      </c>
      <c r="U147" s="6">
        <f t="shared" si="4"/>
        <v>-2.4000000000000021E-2</v>
      </c>
    </row>
    <row r="148" spans="1:21" x14ac:dyDescent="0.3">
      <c r="A148" s="2" t="s">
        <v>107</v>
      </c>
      <c r="B148" s="2">
        <v>7</v>
      </c>
      <c r="C148" s="2" t="s">
        <v>85</v>
      </c>
      <c r="D148" s="2" t="s">
        <v>108</v>
      </c>
      <c r="E148" s="2">
        <v>2</v>
      </c>
      <c r="F148" s="2">
        <v>630</v>
      </c>
      <c r="G148" s="2">
        <v>20</v>
      </c>
      <c r="H148" s="2">
        <v>10</v>
      </c>
      <c r="I148" s="2">
        <v>30</v>
      </c>
      <c r="J148" s="3">
        <v>5.0000000000000001E-3</v>
      </c>
      <c r="K148" s="4">
        <v>64833</v>
      </c>
      <c r="L148" s="4">
        <v>6713</v>
      </c>
      <c r="M148" s="4">
        <v>826</v>
      </c>
      <c r="N148" s="5">
        <v>19.899999999999999</v>
      </c>
      <c r="O148" s="2">
        <v>43</v>
      </c>
      <c r="P148" s="2">
        <v>12</v>
      </c>
      <c r="Q148" s="2">
        <v>7</v>
      </c>
      <c r="R148" s="2">
        <v>24</v>
      </c>
      <c r="S148" s="6">
        <v>0.27900000000000003</v>
      </c>
      <c r="T148" s="6">
        <v>0.26800000000000002</v>
      </c>
      <c r="U148" s="6">
        <f t="shared" si="4"/>
        <v>1.100000000000001E-2</v>
      </c>
    </row>
    <row r="149" spans="1:21" x14ac:dyDescent="0.3">
      <c r="A149" s="2" t="s">
        <v>107</v>
      </c>
      <c r="B149" s="2">
        <v>8</v>
      </c>
      <c r="C149" s="2" t="s">
        <v>43</v>
      </c>
      <c r="D149" s="2" t="s">
        <v>51</v>
      </c>
      <c r="E149" s="2">
        <v>240</v>
      </c>
      <c r="F149" s="2">
        <v>300</v>
      </c>
      <c r="G149" s="2">
        <v>20</v>
      </c>
      <c r="H149" s="2">
        <v>10</v>
      </c>
      <c r="I149" s="2">
        <v>30</v>
      </c>
      <c r="J149" s="3">
        <v>5.0000000000000001E-3</v>
      </c>
      <c r="K149" s="4">
        <v>64148</v>
      </c>
      <c r="L149" s="4">
        <v>5738</v>
      </c>
      <c r="M149" s="4">
        <v>-2518</v>
      </c>
      <c r="N149" s="5">
        <v>-47.1</v>
      </c>
      <c r="O149" s="2">
        <v>53</v>
      </c>
      <c r="P149" s="2">
        <v>13</v>
      </c>
      <c r="Q149" s="2">
        <v>11</v>
      </c>
      <c r="R149" s="2">
        <v>29</v>
      </c>
      <c r="S149" s="6">
        <v>0.245</v>
      </c>
      <c r="T149" s="6">
        <v>0.26800000000000002</v>
      </c>
      <c r="U149" s="6">
        <f t="shared" si="4"/>
        <v>-2.300000000000002E-2</v>
      </c>
    </row>
    <row r="150" spans="1:21" x14ac:dyDescent="0.3">
      <c r="A150" s="2" t="s">
        <v>107</v>
      </c>
      <c r="B150" s="2">
        <v>9</v>
      </c>
      <c r="C150" s="2" t="s">
        <v>38</v>
      </c>
      <c r="D150" s="2" t="s">
        <v>87</v>
      </c>
      <c r="E150" s="2">
        <v>1</v>
      </c>
      <c r="F150" s="2">
        <v>540</v>
      </c>
      <c r="G150" s="2">
        <v>20</v>
      </c>
      <c r="H150" s="2">
        <v>10</v>
      </c>
      <c r="I150" s="2">
        <v>30</v>
      </c>
      <c r="J150" s="3">
        <v>5.0000000000000001E-3</v>
      </c>
      <c r="K150" s="4">
        <v>63796</v>
      </c>
      <c r="L150" s="4">
        <v>4609</v>
      </c>
      <c r="M150" s="4">
        <v>1212</v>
      </c>
      <c r="N150" s="5">
        <v>27.8</v>
      </c>
      <c r="O150" s="2">
        <v>46</v>
      </c>
      <c r="P150" s="2">
        <v>13</v>
      </c>
      <c r="Q150" s="2">
        <v>13</v>
      </c>
      <c r="R150" s="2">
        <v>20</v>
      </c>
      <c r="S150" s="6">
        <v>0.28299999999999997</v>
      </c>
      <c r="T150" s="6">
        <v>0.26800000000000002</v>
      </c>
      <c r="U150" s="6">
        <f t="shared" si="4"/>
        <v>1.4999999999999958E-2</v>
      </c>
    </row>
    <row r="151" spans="1:21" x14ac:dyDescent="0.3">
      <c r="A151" s="2" t="s">
        <v>107</v>
      </c>
      <c r="B151" s="2">
        <v>10</v>
      </c>
      <c r="C151" s="2" t="s">
        <v>74</v>
      </c>
      <c r="D151" s="2" t="s">
        <v>103</v>
      </c>
      <c r="E151" s="2">
        <v>10</v>
      </c>
      <c r="F151" s="2">
        <v>600</v>
      </c>
      <c r="G151" s="2">
        <v>20</v>
      </c>
      <c r="H151" s="2">
        <v>10</v>
      </c>
      <c r="I151" s="2">
        <v>20</v>
      </c>
      <c r="J151" s="3">
        <v>5.0000000000000001E-3</v>
      </c>
      <c r="K151" s="4">
        <v>63249</v>
      </c>
      <c r="L151" s="4">
        <v>8416</v>
      </c>
      <c r="M151" s="4">
        <v>-3025</v>
      </c>
      <c r="N151" s="5">
        <v>-59.4</v>
      </c>
      <c r="O151" s="2">
        <v>42</v>
      </c>
      <c r="P151" s="2">
        <v>13</v>
      </c>
      <c r="Q151" s="2">
        <v>11</v>
      </c>
      <c r="R151" s="2">
        <v>18</v>
      </c>
      <c r="S151" s="6">
        <v>0.31</v>
      </c>
      <c r="T151" s="6">
        <v>0.35699999999999998</v>
      </c>
      <c r="U151" s="6">
        <f t="shared" si="4"/>
        <v>-4.6999999999999986E-2</v>
      </c>
    </row>
    <row r="152" spans="1:21" x14ac:dyDescent="0.3">
      <c r="A152" s="2" t="s">
        <v>109</v>
      </c>
      <c r="B152" s="2">
        <v>1</v>
      </c>
      <c r="C152" s="2" t="s">
        <v>36</v>
      </c>
      <c r="D152" s="2" t="s">
        <v>53</v>
      </c>
      <c r="E152" s="2">
        <v>450</v>
      </c>
      <c r="F152" s="2">
        <v>720</v>
      </c>
      <c r="G152" s="2">
        <v>20</v>
      </c>
      <c r="H152" s="2">
        <v>15</v>
      </c>
      <c r="I152" s="2">
        <v>40</v>
      </c>
      <c r="J152" s="3">
        <v>5.0000000000000001E-3</v>
      </c>
      <c r="K152" s="4">
        <v>67519</v>
      </c>
      <c r="L152" s="4">
        <v>2532</v>
      </c>
      <c r="M152" s="4">
        <v>2058</v>
      </c>
      <c r="N152" s="5">
        <v>63.1</v>
      </c>
      <c r="O152" s="2">
        <v>17</v>
      </c>
      <c r="P152" s="2">
        <v>6</v>
      </c>
      <c r="Q152" s="2">
        <v>3</v>
      </c>
      <c r="R152" s="2">
        <v>8</v>
      </c>
      <c r="S152" s="6">
        <v>0.35299999999999998</v>
      </c>
      <c r="T152" s="6">
        <v>0.28499999999999998</v>
      </c>
      <c r="U152" s="6">
        <f t="shared" si="4"/>
        <v>6.8000000000000005E-2</v>
      </c>
    </row>
    <row r="153" spans="1:21" x14ac:dyDescent="0.3">
      <c r="A153" s="2" t="s">
        <v>109</v>
      </c>
      <c r="B153" s="2">
        <v>2</v>
      </c>
      <c r="C153" s="2" t="s">
        <v>36</v>
      </c>
      <c r="D153" s="2" t="s">
        <v>58</v>
      </c>
      <c r="E153" s="2">
        <v>450</v>
      </c>
      <c r="F153" s="2">
        <v>780</v>
      </c>
      <c r="G153" s="2">
        <v>20</v>
      </c>
      <c r="H153" s="2">
        <v>10</v>
      </c>
      <c r="I153" s="2">
        <v>30</v>
      </c>
      <c r="J153" s="3">
        <v>5.0000000000000001E-3</v>
      </c>
      <c r="K153" s="4">
        <v>67168</v>
      </c>
      <c r="L153" s="4">
        <v>9771</v>
      </c>
      <c r="M153" s="4">
        <v>-1678</v>
      </c>
      <c r="N153" s="5">
        <v>-32.6</v>
      </c>
      <c r="O153" s="2">
        <v>18</v>
      </c>
      <c r="P153" s="2">
        <v>4</v>
      </c>
      <c r="Q153" s="2">
        <v>3</v>
      </c>
      <c r="R153" s="2">
        <v>11</v>
      </c>
      <c r="S153" s="6">
        <v>0.222</v>
      </c>
      <c r="T153" s="6">
        <v>0.26800000000000002</v>
      </c>
      <c r="U153" s="6">
        <f t="shared" si="4"/>
        <v>-4.6000000000000013E-2</v>
      </c>
    </row>
    <row r="154" spans="1:21" x14ac:dyDescent="0.3">
      <c r="A154" s="2" t="s">
        <v>109</v>
      </c>
      <c r="B154" s="2">
        <v>3</v>
      </c>
      <c r="C154" s="2" t="s">
        <v>89</v>
      </c>
      <c r="D154" s="2" t="s">
        <v>87</v>
      </c>
      <c r="E154" s="2">
        <v>30</v>
      </c>
      <c r="F154" s="2">
        <v>540</v>
      </c>
      <c r="G154" s="2">
        <v>10</v>
      </c>
      <c r="H154" s="2">
        <v>10</v>
      </c>
      <c r="I154" s="2">
        <v>30</v>
      </c>
      <c r="J154" s="3">
        <v>5.0000000000000001E-3</v>
      </c>
      <c r="K154" s="4">
        <v>67131</v>
      </c>
      <c r="L154" s="4">
        <v>21347</v>
      </c>
      <c r="M154" s="4">
        <v>2780</v>
      </c>
      <c r="N154" s="5">
        <v>57.6</v>
      </c>
      <c r="O154" s="2">
        <v>32</v>
      </c>
      <c r="P154" s="2">
        <v>10</v>
      </c>
      <c r="Q154" s="2">
        <v>7</v>
      </c>
      <c r="R154" s="2">
        <v>15</v>
      </c>
      <c r="S154" s="6">
        <v>0.312</v>
      </c>
      <c r="T154" s="6">
        <v>0.26800000000000002</v>
      </c>
      <c r="U154" s="6">
        <f t="shared" si="4"/>
        <v>4.3999999999999984E-2</v>
      </c>
    </row>
    <row r="155" spans="1:21" x14ac:dyDescent="0.3">
      <c r="A155" s="2" t="s">
        <v>109</v>
      </c>
      <c r="B155" s="2">
        <v>4</v>
      </c>
      <c r="C155" s="2" t="s">
        <v>37</v>
      </c>
      <c r="D155" s="2" t="s">
        <v>53</v>
      </c>
      <c r="E155" s="2">
        <v>480</v>
      </c>
      <c r="F155" s="2">
        <v>720</v>
      </c>
      <c r="G155" s="2">
        <v>20</v>
      </c>
      <c r="H155" s="2">
        <v>10</v>
      </c>
      <c r="I155" s="2">
        <v>30</v>
      </c>
      <c r="J155" s="3">
        <v>5.0000000000000001E-3</v>
      </c>
      <c r="K155" s="4">
        <v>65877</v>
      </c>
      <c r="L155" s="4">
        <v>10783</v>
      </c>
      <c r="M155" s="4">
        <v>3814</v>
      </c>
      <c r="N155" s="5">
        <v>76.7</v>
      </c>
      <c r="O155" s="2">
        <v>19</v>
      </c>
      <c r="P155" s="2">
        <v>7</v>
      </c>
      <c r="Q155" s="2">
        <v>3</v>
      </c>
      <c r="R155" s="2">
        <v>9</v>
      </c>
      <c r="S155" s="6">
        <v>0.36799999999999999</v>
      </c>
      <c r="T155" s="6">
        <v>0.26800000000000002</v>
      </c>
      <c r="U155" s="6">
        <f t="shared" si="4"/>
        <v>9.9999999999999978E-2</v>
      </c>
    </row>
    <row r="156" spans="1:21" x14ac:dyDescent="0.3">
      <c r="A156" s="2" t="s">
        <v>109</v>
      </c>
      <c r="B156" s="2">
        <v>5</v>
      </c>
      <c r="C156" s="2" t="s">
        <v>76</v>
      </c>
      <c r="D156" s="2" t="s">
        <v>53</v>
      </c>
      <c r="E156" s="2">
        <v>5</v>
      </c>
      <c r="F156" s="2">
        <v>720</v>
      </c>
      <c r="G156" s="2">
        <v>15</v>
      </c>
      <c r="H156" s="2">
        <v>10</v>
      </c>
      <c r="I156" s="2">
        <v>30</v>
      </c>
      <c r="J156" s="3">
        <v>5.0000000000000001E-3</v>
      </c>
      <c r="K156" s="4">
        <v>65306</v>
      </c>
      <c r="L156" s="4">
        <v>1756</v>
      </c>
      <c r="M156" s="4">
        <v>-1079</v>
      </c>
      <c r="N156" s="5">
        <v>-19.600000000000001</v>
      </c>
      <c r="O156" s="2">
        <v>28</v>
      </c>
      <c r="P156" s="2">
        <v>7</v>
      </c>
      <c r="Q156" s="2">
        <v>9</v>
      </c>
      <c r="R156" s="2">
        <v>12</v>
      </c>
      <c r="S156" s="6">
        <v>0.25</v>
      </c>
      <c r="T156" s="6">
        <v>0.26800000000000002</v>
      </c>
      <c r="U156" s="6">
        <f t="shared" si="4"/>
        <v>-1.8000000000000016E-2</v>
      </c>
    </row>
    <row r="157" spans="1:21" x14ac:dyDescent="0.3">
      <c r="A157" s="2" t="s">
        <v>109</v>
      </c>
      <c r="B157" s="2">
        <v>6</v>
      </c>
      <c r="C157" s="2" t="s">
        <v>36</v>
      </c>
      <c r="D157" s="2" t="s">
        <v>50</v>
      </c>
      <c r="E157" s="2">
        <v>450</v>
      </c>
      <c r="F157" s="2">
        <v>810</v>
      </c>
      <c r="G157" s="2">
        <v>20</v>
      </c>
      <c r="H157" s="2">
        <v>20</v>
      </c>
      <c r="I157" s="2">
        <v>60</v>
      </c>
      <c r="J157" s="3">
        <v>5.0000000000000001E-3</v>
      </c>
      <c r="K157" s="4">
        <v>64898</v>
      </c>
      <c r="L157" s="4">
        <v>7180</v>
      </c>
      <c r="M157" s="4">
        <v>1751</v>
      </c>
      <c r="N157" s="5">
        <v>71.599999999999994</v>
      </c>
      <c r="O157" s="2">
        <v>12</v>
      </c>
      <c r="P157" s="2">
        <v>4</v>
      </c>
      <c r="Q157" s="2">
        <v>3</v>
      </c>
      <c r="R157" s="2">
        <v>5</v>
      </c>
      <c r="S157" s="6">
        <v>0.33300000000000002</v>
      </c>
      <c r="T157" s="6">
        <v>0.25900000000000001</v>
      </c>
      <c r="U157" s="6">
        <f t="shared" si="4"/>
        <v>7.400000000000001E-2</v>
      </c>
    </row>
    <row r="158" spans="1:21" x14ac:dyDescent="0.3">
      <c r="A158" s="2" t="s">
        <v>109</v>
      </c>
      <c r="B158" s="2">
        <v>7</v>
      </c>
      <c r="C158" s="2" t="s">
        <v>43</v>
      </c>
      <c r="D158" s="2" t="s">
        <v>51</v>
      </c>
      <c r="E158" s="2">
        <v>240</v>
      </c>
      <c r="F158" s="2">
        <v>300</v>
      </c>
      <c r="G158" s="2">
        <v>20</v>
      </c>
      <c r="H158" s="2">
        <v>10</v>
      </c>
      <c r="I158" s="2">
        <v>30</v>
      </c>
      <c r="J158" s="3">
        <v>5.0000000000000001E-3</v>
      </c>
      <c r="K158" s="4">
        <v>64521</v>
      </c>
      <c r="L158" s="4">
        <v>-2518</v>
      </c>
      <c r="M158" s="4">
        <v>-6958</v>
      </c>
      <c r="N158" s="5">
        <v>-142.4</v>
      </c>
      <c r="O158" s="2">
        <v>32</v>
      </c>
      <c r="P158" s="2">
        <v>5</v>
      </c>
      <c r="Q158" s="2">
        <v>7</v>
      </c>
      <c r="R158" s="2">
        <v>20</v>
      </c>
      <c r="S158" s="6">
        <v>0.156</v>
      </c>
      <c r="T158" s="6">
        <v>0.26800000000000002</v>
      </c>
      <c r="U158" s="6">
        <f t="shared" si="4"/>
        <v>-0.11200000000000002</v>
      </c>
    </row>
    <row r="159" spans="1:21" x14ac:dyDescent="0.3">
      <c r="A159" s="2" t="s">
        <v>109</v>
      </c>
      <c r="B159" s="2">
        <v>8</v>
      </c>
      <c r="C159" s="2" t="s">
        <v>36</v>
      </c>
      <c r="D159" s="2" t="s">
        <v>58</v>
      </c>
      <c r="E159" s="2">
        <v>450</v>
      </c>
      <c r="F159" s="2">
        <v>780</v>
      </c>
      <c r="G159" s="2">
        <v>20</v>
      </c>
      <c r="H159" s="2">
        <v>15</v>
      </c>
      <c r="I159" s="2">
        <v>30</v>
      </c>
      <c r="J159" s="3">
        <v>5.0000000000000001E-3</v>
      </c>
      <c r="K159" s="4">
        <v>62578</v>
      </c>
      <c r="L159" s="4">
        <v>7732</v>
      </c>
      <c r="M159" s="4">
        <v>-2891</v>
      </c>
      <c r="N159" s="5">
        <v>-86.9</v>
      </c>
      <c r="O159" s="2">
        <v>17</v>
      </c>
      <c r="P159" s="2">
        <v>4</v>
      </c>
      <c r="Q159" s="2">
        <v>4</v>
      </c>
      <c r="R159" s="2">
        <v>9</v>
      </c>
      <c r="S159" s="6">
        <v>0.23499999999999999</v>
      </c>
      <c r="T159" s="6">
        <v>0.34899999999999998</v>
      </c>
      <c r="U159" s="6">
        <f t="shared" si="4"/>
        <v>-0.11399999999999999</v>
      </c>
    </row>
    <row r="160" spans="1:21" x14ac:dyDescent="0.3">
      <c r="A160" s="2" t="s">
        <v>109</v>
      </c>
      <c r="B160" s="2">
        <v>9</v>
      </c>
      <c r="C160" s="2" t="s">
        <v>102</v>
      </c>
      <c r="D160" s="2" t="s">
        <v>103</v>
      </c>
      <c r="E160" s="2">
        <v>9</v>
      </c>
      <c r="F160" s="2">
        <v>600</v>
      </c>
      <c r="G160" s="2">
        <v>20</v>
      </c>
      <c r="H160" s="2">
        <v>10</v>
      </c>
      <c r="I160" s="2">
        <v>30</v>
      </c>
      <c r="J160" s="3">
        <v>5.0000000000000001E-3</v>
      </c>
      <c r="K160" s="4">
        <v>61719</v>
      </c>
      <c r="L160" s="4">
        <v>60</v>
      </c>
      <c r="M160" s="4">
        <v>2157</v>
      </c>
      <c r="N160" s="5">
        <v>44.6</v>
      </c>
      <c r="O160" s="2">
        <v>22</v>
      </c>
      <c r="P160" s="2">
        <v>7</v>
      </c>
      <c r="Q160" s="2">
        <v>4</v>
      </c>
      <c r="R160" s="2">
        <v>11</v>
      </c>
      <c r="S160" s="6">
        <v>0.318</v>
      </c>
      <c r="T160" s="6">
        <v>0.26800000000000002</v>
      </c>
      <c r="U160" s="6">
        <f t="shared" si="4"/>
        <v>4.9999999999999989E-2</v>
      </c>
    </row>
    <row r="161" spans="1:21" x14ac:dyDescent="0.3">
      <c r="A161" s="2" t="s">
        <v>109</v>
      </c>
      <c r="B161" s="2">
        <v>10</v>
      </c>
      <c r="C161" s="2" t="s">
        <v>108</v>
      </c>
      <c r="D161" s="2" t="s">
        <v>62</v>
      </c>
      <c r="E161" s="2">
        <v>630</v>
      </c>
      <c r="F161" s="2">
        <v>690</v>
      </c>
      <c r="G161" s="2">
        <v>10</v>
      </c>
      <c r="H161" s="2">
        <v>25</v>
      </c>
      <c r="I161" s="2">
        <v>60</v>
      </c>
      <c r="J161" s="3">
        <v>5.0000000000000001E-3</v>
      </c>
      <c r="K161" s="4">
        <v>61679</v>
      </c>
      <c r="L161" s="4">
        <v>11039</v>
      </c>
      <c r="M161" s="4">
        <v>4217</v>
      </c>
      <c r="N161" s="5">
        <v>209.5</v>
      </c>
      <c r="O161" s="2">
        <v>15</v>
      </c>
      <c r="P161" s="2">
        <v>7</v>
      </c>
      <c r="Q161" s="2">
        <v>4</v>
      </c>
      <c r="R161" s="2">
        <v>4</v>
      </c>
      <c r="S161" s="6">
        <v>0.46700000000000003</v>
      </c>
      <c r="T161" s="6">
        <v>0.30199999999999999</v>
      </c>
      <c r="U161" s="6">
        <f t="shared" si="4"/>
        <v>0.16500000000000004</v>
      </c>
    </row>
    <row r="162" spans="1:21" x14ac:dyDescent="0.3">
      <c r="A162" s="2" t="s">
        <v>110</v>
      </c>
      <c r="B162" s="2">
        <v>1</v>
      </c>
      <c r="C162" s="2" t="s">
        <v>106</v>
      </c>
      <c r="D162" s="2" t="s">
        <v>111</v>
      </c>
      <c r="E162" s="2">
        <v>25</v>
      </c>
      <c r="F162" s="2">
        <v>960</v>
      </c>
      <c r="G162" s="2">
        <v>10</v>
      </c>
      <c r="H162" s="2">
        <v>20</v>
      </c>
      <c r="I162" s="2">
        <v>60</v>
      </c>
      <c r="J162" s="3">
        <v>5.0000000000000001E-3</v>
      </c>
      <c r="K162" s="4">
        <v>66194</v>
      </c>
      <c r="L162" s="4">
        <v>179</v>
      </c>
      <c r="M162" s="4">
        <v>-2726</v>
      </c>
      <c r="N162" s="5">
        <v>-109.1</v>
      </c>
      <c r="O162" s="2">
        <v>13</v>
      </c>
      <c r="P162" s="2">
        <v>2</v>
      </c>
      <c r="Q162" s="2">
        <v>5</v>
      </c>
      <c r="R162" s="2">
        <v>6</v>
      </c>
      <c r="S162" s="6">
        <v>0.154</v>
      </c>
      <c r="T162" s="6">
        <v>0.25900000000000001</v>
      </c>
      <c r="U162" s="6">
        <f t="shared" ref="U162:U193" si="5">S162-T162</f>
        <v>-0.10500000000000001</v>
      </c>
    </row>
    <row r="163" spans="1:21" x14ac:dyDescent="0.3">
      <c r="A163" s="2" t="s">
        <v>110</v>
      </c>
      <c r="B163" s="2">
        <v>2</v>
      </c>
      <c r="C163" s="2" t="s">
        <v>91</v>
      </c>
      <c r="D163" s="2" t="s">
        <v>50</v>
      </c>
      <c r="E163" s="2">
        <v>570</v>
      </c>
      <c r="F163" s="2">
        <v>810</v>
      </c>
      <c r="G163" s="2">
        <v>10</v>
      </c>
      <c r="H163" s="2">
        <v>20</v>
      </c>
      <c r="I163" s="2">
        <v>60</v>
      </c>
      <c r="J163" s="3">
        <v>5.0000000000000001E-3</v>
      </c>
      <c r="K163" s="4">
        <v>65912</v>
      </c>
      <c r="L163" s="4">
        <v>3708</v>
      </c>
      <c r="M163" s="4">
        <v>-686</v>
      </c>
      <c r="N163" s="5">
        <v>-26.3</v>
      </c>
      <c r="O163" s="2">
        <v>9</v>
      </c>
      <c r="P163" s="2">
        <v>2</v>
      </c>
      <c r="Q163" s="2">
        <v>1</v>
      </c>
      <c r="R163" s="2">
        <v>6</v>
      </c>
      <c r="S163" s="6">
        <v>0.222</v>
      </c>
      <c r="T163" s="6">
        <v>0.25900000000000001</v>
      </c>
      <c r="U163" s="6">
        <f t="shared" si="5"/>
        <v>-3.7000000000000005E-2</v>
      </c>
    </row>
    <row r="164" spans="1:21" x14ac:dyDescent="0.3">
      <c r="A164" s="2" t="s">
        <v>110</v>
      </c>
      <c r="B164" s="2">
        <v>3</v>
      </c>
      <c r="C164" s="2" t="s">
        <v>89</v>
      </c>
      <c r="D164" s="2" t="s">
        <v>87</v>
      </c>
      <c r="E164" s="2">
        <v>30</v>
      </c>
      <c r="F164" s="2">
        <v>540</v>
      </c>
      <c r="G164" s="2">
        <v>10</v>
      </c>
      <c r="H164" s="2">
        <v>10</v>
      </c>
      <c r="I164" s="2">
        <v>30</v>
      </c>
      <c r="J164" s="3">
        <v>5.0000000000000001E-3</v>
      </c>
      <c r="K164" s="4">
        <v>65130</v>
      </c>
      <c r="L164" s="4">
        <v>2780</v>
      </c>
      <c r="M164" s="4">
        <v>215</v>
      </c>
      <c r="N164" s="5">
        <v>6.9</v>
      </c>
      <c r="O164" s="2">
        <v>33</v>
      </c>
      <c r="P164" s="2">
        <v>9</v>
      </c>
      <c r="Q164" s="2">
        <v>10</v>
      </c>
      <c r="R164" s="2">
        <v>14</v>
      </c>
      <c r="S164" s="6">
        <v>0.27300000000000002</v>
      </c>
      <c r="T164" s="6">
        <v>0.26800000000000002</v>
      </c>
      <c r="U164" s="6">
        <f t="shared" si="5"/>
        <v>5.0000000000000044E-3</v>
      </c>
    </row>
    <row r="165" spans="1:21" x14ac:dyDescent="0.3">
      <c r="A165" s="2" t="s">
        <v>110</v>
      </c>
      <c r="B165" s="2">
        <v>4</v>
      </c>
      <c r="C165" s="2" t="s">
        <v>87</v>
      </c>
      <c r="D165" s="2" t="s">
        <v>112</v>
      </c>
      <c r="E165" s="2">
        <v>540</v>
      </c>
      <c r="F165" s="2">
        <v>840</v>
      </c>
      <c r="G165" s="2">
        <v>10</v>
      </c>
      <c r="H165" s="2">
        <v>25</v>
      </c>
      <c r="I165" s="2">
        <v>70</v>
      </c>
      <c r="J165" s="3">
        <v>5.0000000000000001E-3</v>
      </c>
      <c r="K165" s="4">
        <v>63439</v>
      </c>
      <c r="L165" s="4">
        <v>3329</v>
      </c>
      <c r="M165" s="4">
        <v>-3543</v>
      </c>
      <c r="N165" s="5">
        <v>-179.9</v>
      </c>
      <c r="O165" s="2">
        <v>7</v>
      </c>
      <c r="P165" s="2">
        <v>0</v>
      </c>
      <c r="Q165" s="2">
        <v>2</v>
      </c>
      <c r="R165" s="2">
        <v>5</v>
      </c>
      <c r="S165" s="6">
        <v>0</v>
      </c>
      <c r="T165" s="6">
        <v>0.27100000000000002</v>
      </c>
      <c r="U165" s="6">
        <f t="shared" si="5"/>
        <v>-0.27100000000000002</v>
      </c>
    </row>
    <row r="166" spans="1:21" x14ac:dyDescent="0.3">
      <c r="A166" s="2" t="s">
        <v>110</v>
      </c>
      <c r="B166" s="2">
        <v>5</v>
      </c>
      <c r="C166" s="2" t="s">
        <v>38</v>
      </c>
      <c r="D166" s="2" t="s">
        <v>59</v>
      </c>
      <c r="E166" s="2">
        <v>1</v>
      </c>
      <c r="F166" s="2">
        <v>1140</v>
      </c>
      <c r="G166" s="2">
        <v>10</v>
      </c>
      <c r="H166" s="2">
        <v>10</v>
      </c>
      <c r="I166" s="2">
        <v>30</v>
      </c>
      <c r="J166" s="3">
        <v>5.0000000000000001E-3</v>
      </c>
      <c r="K166" s="4">
        <v>62958</v>
      </c>
      <c r="L166" s="4">
        <v>1610</v>
      </c>
      <c r="M166" s="4">
        <v>-1079</v>
      </c>
      <c r="N166" s="5">
        <v>-19.600000000000001</v>
      </c>
      <c r="O166" s="2">
        <v>28</v>
      </c>
      <c r="P166" s="2">
        <v>7</v>
      </c>
      <c r="Q166" s="2">
        <v>8</v>
      </c>
      <c r="R166" s="2">
        <v>13</v>
      </c>
      <c r="S166" s="6">
        <v>0.25</v>
      </c>
      <c r="T166" s="6">
        <v>0.26800000000000002</v>
      </c>
      <c r="U166" s="6">
        <f t="shared" si="5"/>
        <v>-1.8000000000000016E-2</v>
      </c>
    </row>
    <row r="167" spans="1:21" x14ac:dyDescent="0.3">
      <c r="A167" s="2" t="s">
        <v>110</v>
      </c>
      <c r="B167" s="2">
        <v>6</v>
      </c>
      <c r="C167" s="2" t="s">
        <v>36</v>
      </c>
      <c r="D167" s="2" t="s">
        <v>53</v>
      </c>
      <c r="E167" s="2">
        <v>450</v>
      </c>
      <c r="F167" s="2">
        <v>720</v>
      </c>
      <c r="G167" s="2">
        <v>20</v>
      </c>
      <c r="H167" s="2">
        <v>15</v>
      </c>
      <c r="I167" s="2">
        <v>40</v>
      </c>
      <c r="J167" s="3">
        <v>5.0000000000000001E-3</v>
      </c>
      <c r="K167" s="4">
        <v>62871</v>
      </c>
      <c r="L167" s="4">
        <v>2058</v>
      </c>
      <c r="M167" s="4">
        <v>2595</v>
      </c>
      <c r="N167" s="5">
        <v>78.8</v>
      </c>
      <c r="O167" s="2">
        <v>16</v>
      </c>
      <c r="P167" s="2">
        <v>6</v>
      </c>
      <c r="Q167" s="2">
        <v>4</v>
      </c>
      <c r="R167" s="2">
        <v>6</v>
      </c>
      <c r="S167" s="6">
        <v>0.375</v>
      </c>
      <c r="T167" s="6">
        <v>0.28499999999999998</v>
      </c>
      <c r="U167" s="6">
        <f t="shared" si="5"/>
        <v>9.0000000000000024E-2</v>
      </c>
    </row>
    <row r="168" spans="1:21" x14ac:dyDescent="0.3">
      <c r="A168" s="2" t="s">
        <v>110</v>
      </c>
      <c r="B168" s="2">
        <v>7</v>
      </c>
      <c r="C168" s="2" t="s">
        <v>113</v>
      </c>
      <c r="D168" s="2" t="s">
        <v>23</v>
      </c>
      <c r="E168" s="2">
        <v>180</v>
      </c>
      <c r="F168" s="2">
        <v>660</v>
      </c>
      <c r="G168" s="2">
        <v>15</v>
      </c>
      <c r="H168" s="2">
        <v>20</v>
      </c>
      <c r="I168" s="2">
        <v>60</v>
      </c>
      <c r="J168" s="3">
        <v>5.0000000000000001E-3</v>
      </c>
      <c r="K168" s="4">
        <v>62642</v>
      </c>
      <c r="L168" s="4">
        <v>7920</v>
      </c>
      <c r="M168" s="4">
        <v>-1712</v>
      </c>
      <c r="N168" s="5">
        <v>-67.7</v>
      </c>
      <c r="O168" s="2">
        <v>11</v>
      </c>
      <c r="P168" s="2">
        <v>2</v>
      </c>
      <c r="Q168" s="2">
        <v>2</v>
      </c>
      <c r="R168" s="2">
        <v>7</v>
      </c>
      <c r="S168" s="6">
        <v>0.182</v>
      </c>
      <c r="T168" s="6">
        <v>0.25900000000000001</v>
      </c>
      <c r="U168" s="6">
        <f t="shared" si="5"/>
        <v>-7.7000000000000013E-2</v>
      </c>
    </row>
    <row r="169" spans="1:21" x14ac:dyDescent="0.3">
      <c r="A169" s="2" t="s">
        <v>110</v>
      </c>
      <c r="B169" s="2">
        <v>8</v>
      </c>
      <c r="C169" s="2" t="s">
        <v>87</v>
      </c>
      <c r="D169" s="2" t="s">
        <v>112</v>
      </c>
      <c r="E169" s="2">
        <v>540</v>
      </c>
      <c r="F169" s="2">
        <v>840</v>
      </c>
      <c r="G169" s="2">
        <v>10</v>
      </c>
      <c r="H169" s="2">
        <v>20</v>
      </c>
      <c r="I169" s="2">
        <v>60</v>
      </c>
      <c r="J169" s="3">
        <v>5.0000000000000001E-3</v>
      </c>
      <c r="K169" s="4">
        <v>60266</v>
      </c>
      <c r="L169" s="4">
        <v>3796</v>
      </c>
      <c r="M169" s="4">
        <v>-2220</v>
      </c>
      <c r="N169" s="5">
        <v>-88.4</v>
      </c>
      <c r="O169" s="2">
        <v>12</v>
      </c>
      <c r="P169" s="2">
        <v>2</v>
      </c>
      <c r="Q169" s="2">
        <v>3</v>
      </c>
      <c r="R169" s="2">
        <v>7</v>
      </c>
      <c r="S169" s="6">
        <v>0.16700000000000001</v>
      </c>
      <c r="T169" s="6">
        <v>0.25900000000000001</v>
      </c>
      <c r="U169" s="6">
        <f t="shared" si="5"/>
        <v>-9.1999999999999998E-2</v>
      </c>
    </row>
    <row r="170" spans="1:21" x14ac:dyDescent="0.3">
      <c r="A170" s="2" t="s">
        <v>110</v>
      </c>
      <c r="B170" s="2">
        <v>9</v>
      </c>
      <c r="C170" s="2" t="s">
        <v>113</v>
      </c>
      <c r="D170" s="2" t="s">
        <v>108</v>
      </c>
      <c r="E170" s="2">
        <v>180</v>
      </c>
      <c r="F170" s="2">
        <v>630</v>
      </c>
      <c r="G170" s="2">
        <v>15</v>
      </c>
      <c r="H170" s="2">
        <v>20</v>
      </c>
      <c r="I170" s="2">
        <v>60</v>
      </c>
      <c r="J170" s="3">
        <v>5.0000000000000001E-3</v>
      </c>
      <c r="K170" s="4">
        <v>60130</v>
      </c>
      <c r="L170" s="4">
        <v>5793</v>
      </c>
      <c r="M170" s="4">
        <v>-2220</v>
      </c>
      <c r="N170" s="5">
        <v>-88.4</v>
      </c>
      <c r="O170" s="2">
        <v>12</v>
      </c>
      <c r="P170" s="2">
        <v>2</v>
      </c>
      <c r="Q170" s="2">
        <v>2</v>
      </c>
      <c r="R170" s="2">
        <v>8</v>
      </c>
      <c r="S170" s="6">
        <v>0.16700000000000001</v>
      </c>
      <c r="T170" s="6">
        <v>0.25900000000000001</v>
      </c>
      <c r="U170" s="6">
        <f t="shared" si="5"/>
        <v>-9.1999999999999998E-2</v>
      </c>
    </row>
    <row r="171" spans="1:21" x14ac:dyDescent="0.3">
      <c r="A171" s="2" t="s">
        <v>110</v>
      </c>
      <c r="B171" s="2">
        <v>10</v>
      </c>
      <c r="C171" s="2" t="s">
        <v>36</v>
      </c>
      <c r="D171" s="2" t="s">
        <v>58</v>
      </c>
      <c r="E171" s="2">
        <v>450</v>
      </c>
      <c r="F171" s="2">
        <v>780</v>
      </c>
      <c r="G171" s="2">
        <v>20</v>
      </c>
      <c r="H171" s="2">
        <v>10</v>
      </c>
      <c r="I171" s="2">
        <v>30</v>
      </c>
      <c r="J171" s="3">
        <v>5.0000000000000001E-3</v>
      </c>
      <c r="K171" s="4">
        <v>59307</v>
      </c>
      <c r="L171" s="4">
        <v>-1678</v>
      </c>
      <c r="M171" s="4">
        <v>4934</v>
      </c>
      <c r="N171" s="5">
        <v>98.1</v>
      </c>
      <c r="O171" s="2">
        <v>17</v>
      </c>
      <c r="P171" s="2">
        <v>7</v>
      </c>
      <c r="Q171" s="2">
        <v>3</v>
      </c>
      <c r="R171" s="2">
        <v>7</v>
      </c>
      <c r="S171" s="6">
        <v>0.41199999999999998</v>
      </c>
      <c r="T171" s="6">
        <v>0.26800000000000002</v>
      </c>
      <c r="U171" s="6">
        <f t="shared" si="5"/>
        <v>0.14399999999999996</v>
      </c>
    </row>
    <row r="172" spans="1:21" x14ac:dyDescent="0.3">
      <c r="A172" s="2" t="s">
        <v>114</v>
      </c>
      <c r="B172" s="2">
        <v>1</v>
      </c>
      <c r="C172" s="2" t="s">
        <v>36</v>
      </c>
      <c r="D172" s="2" t="s">
        <v>58</v>
      </c>
      <c r="E172" s="2">
        <v>450</v>
      </c>
      <c r="F172" s="2">
        <v>780</v>
      </c>
      <c r="G172" s="2">
        <v>20</v>
      </c>
      <c r="H172" s="2">
        <v>10</v>
      </c>
      <c r="I172" s="2">
        <v>30</v>
      </c>
      <c r="J172" s="3">
        <v>5.0000000000000001E-3</v>
      </c>
      <c r="K172" s="4">
        <v>67187</v>
      </c>
      <c r="L172" s="4">
        <v>4934</v>
      </c>
      <c r="M172" s="4">
        <v>143</v>
      </c>
      <c r="N172" s="5">
        <v>4.5999999999999996</v>
      </c>
      <c r="O172" s="2">
        <v>22</v>
      </c>
      <c r="P172" s="2">
        <v>6</v>
      </c>
      <c r="Q172" s="2">
        <v>4</v>
      </c>
      <c r="R172" s="2">
        <v>12</v>
      </c>
      <c r="S172" s="6">
        <v>0.27300000000000002</v>
      </c>
      <c r="T172" s="6">
        <v>0.26800000000000002</v>
      </c>
      <c r="U172" s="6">
        <f t="shared" si="5"/>
        <v>5.0000000000000044E-3</v>
      </c>
    </row>
    <row r="173" spans="1:21" x14ac:dyDescent="0.3">
      <c r="A173" s="2" t="s">
        <v>114</v>
      </c>
      <c r="B173" s="2">
        <v>2</v>
      </c>
      <c r="C173" s="2" t="s">
        <v>106</v>
      </c>
      <c r="D173" s="2" t="s">
        <v>111</v>
      </c>
      <c r="E173" s="2">
        <v>25</v>
      </c>
      <c r="F173" s="2">
        <v>960</v>
      </c>
      <c r="G173" s="2">
        <v>10</v>
      </c>
      <c r="H173" s="2">
        <v>20</v>
      </c>
      <c r="I173" s="2">
        <v>60</v>
      </c>
      <c r="J173" s="3">
        <v>5.0000000000000001E-3</v>
      </c>
      <c r="K173" s="4">
        <v>65756</v>
      </c>
      <c r="L173" s="4">
        <v>-2726</v>
      </c>
      <c r="M173" s="4">
        <v>6434</v>
      </c>
      <c r="N173" s="5">
        <v>252.3</v>
      </c>
      <c r="O173" s="2">
        <v>11</v>
      </c>
      <c r="P173" s="2">
        <v>6</v>
      </c>
      <c r="Q173" s="2">
        <v>0</v>
      </c>
      <c r="R173" s="2">
        <v>5</v>
      </c>
      <c r="S173" s="6">
        <v>0.54500000000000004</v>
      </c>
      <c r="T173" s="6">
        <v>0.25900000000000001</v>
      </c>
      <c r="U173" s="6">
        <f t="shared" si="5"/>
        <v>0.28600000000000003</v>
      </c>
    </row>
    <row r="174" spans="1:21" x14ac:dyDescent="0.3">
      <c r="A174" s="2" t="s">
        <v>114</v>
      </c>
      <c r="B174" s="2">
        <v>3</v>
      </c>
      <c r="C174" s="2" t="s">
        <v>106</v>
      </c>
      <c r="D174" s="2" t="s">
        <v>58</v>
      </c>
      <c r="E174" s="2">
        <v>25</v>
      </c>
      <c r="F174" s="2">
        <v>780</v>
      </c>
      <c r="G174" s="2">
        <v>15</v>
      </c>
      <c r="H174" s="2">
        <v>20</v>
      </c>
      <c r="I174" s="2">
        <v>60</v>
      </c>
      <c r="J174" s="3">
        <v>5.0000000000000001E-3</v>
      </c>
      <c r="K174" s="4">
        <v>62489</v>
      </c>
      <c r="L174" s="4">
        <v>-1284</v>
      </c>
      <c r="M174" s="4">
        <v>2280</v>
      </c>
      <c r="N174" s="5">
        <v>92.3</v>
      </c>
      <c r="O174" s="2">
        <v>11</v>
      </c>
      <c r="P174" s="2">
        <v>4</v>
      </c>
      <c r="Q174" s="2">
        <v>1</v>
      </c>
      <c r="R174" s="2">
        <v>6</v>
      </c>
      <c r="S174" s="6">
        <v>0.36399999999999999</v>
      </c>
      <c r="T174" s="6">
        <v>0.25900000000000001</v>
      </c>
      <c r="U174" s="6">
        <f t="shared" si="5"/>
        <v>0.10499999999999998</v>
      </c>
    </row>
    <row r="175" spans="1:21" x14ac:dyDescent="0.3">
      <c r="A175" s="2" t="s">
        <v>114</v>
      </c>
      <c r="B175" s="2">
        <v>4</v>
      </c>
      <c r="C175" s="2" t="s">
        <v>51</v>
      </c>
      <c r="D175" s="2" t="s">
        <v>58</v>
      </c>
      <c r="E175" s="2">
        <v>300</v>
      </c>
      <c r="F175" s="2">
        <v>780</v>
      </c>
      <c r="G175" s="2">
        <v>10</v>
      </c>
      <c r="H175" s="2">
        <v>20</v>
      </c>
      <c r="I175" s="2">
        <v>60</v>
      </c>
      <c r="J175" s="3">
        <v>5.0000000000000001E-3</v>
      </c>
      <c r="K175" s="4">
        <v>61801</v>
      </c>
      <c r="L175" s="4">
        <v>2812</v>
      </c>
      <c r="M175" s="4">
        <v>3259</v>
      </c>
      <c r="N175" s="5">
        <v>130.9</v>
      </c>
      <c r="O175" s="2">
        <v>13</v>
      </c>
      <c r="P175" s="2">
        <v>5</v>
      </c>
      <c r="Q175" s="2">
        <v>0</v>
      </c>
      <c r="R175" s="2">
        <v>8</v>
      </c>
      <c r="S175" s="6">
        <v>0.38500000000000001</v>
      </c>
      <c r="T175" s="6">
        <v>0.25900000000000001</v>
      </c>
      <c r="U175" s="6">
        <f t="shared" si="5"/>
        <v>0.126</v>
      </c>
    </row>
    <row r="176" spans="1:21" x14ac:dyDescent="0.3">
      <c r="A176" s="2" t="s">
        <v>114</v>
      </c>
      <c r="B176" s="2">
        <v>5</v>
      </c>
      <c r="C176" s="2" t="s">
        <v>38</v>
      </c>
      <c r="D176" s="2" t="s">
        <v>59</v>
      </c>
      <c r="E176" s="2">
        <v>1</v>
      </c>
      <c r="F176" s="2">
        <v>1140</v>
      </c>
      <c r="G176" s="2">
        <v>10</v>
      </c>
      <c r="H176" s="2">
        <v>10</v>
      </c>
      <c r="I176" s="2">
        <v>30</v>
      </c>
      <c r="J176" s="3">
        <v>5.0000000000000001E-3</v>
      </c>
      <c r="K176" s="4">
        <v>57928</v>
      </c>
      <c r="L176" s="4">
        <v>-1079</v>
      </c>
      <c r="M176" s="4">
        <v>-547</v>
      </c>
      <c r="N176" s="5">
        <v>-8.9</v>
      </c>
      <c r="O176" s="2">
        <v>27</v>
      </c>
      <c r="P176" s="2">
        <v>7</v>
      </c>
      <c r="Q176" s="2">
        <v>7</v>
      </c>
      <c r="R176" s="2">
        <v>13</v>
      </c>
      <c r="S176" s="6">
        <v>0.25900000000000001</v>
      </c>
      <c r="T176" s="6">
        <v>0.26800000000000002</v>
      </c>
      <c r="U176" s="6">
        <f t="shared" si="5"/>
        <v>-9.000000000000008E-3</v>
      </c>
    </row>
    <row r="177" spans="1:21" x14ac:dyDescent="0.3">
      <c r="A177" s="2" t="s">
        <v>114</v>
      </c>
      <c r="B177" s="2">
        <v>6</v>
      </c>
      <c r="C177" s="2" t="s">
        <v>106</v>
      </c>
      <c r="D177" s="2" t="s">
        <v>53</v>
      </c>
      <c r="E177" s="2">
        <v>25</v>
      </c>
      <c r="F177" s="2">
        <v>720</v>
      </c>
      <c r="G177" s="2">
        <v>15</v>
      </c>
      <c r="H177" s="2">
        <v>15</v>
      </c>
      <c r="I177" s="2">
        <v>40</v>
      </c>
      <c r="J177" s="3">
        <v>5.0000000000000001E-3</v>
      </c>
      <c r="K177" s="4">
        <v>57823</v>
      </c>
      <c r="L177" s="4">
        <v>-313</v>
      </c>
      <c r="M177" s="4">
        <v>464</v>
      </c>
      <c r="N177" s="5">
        <v>16</v>
      </c>
      <c r="O177" s="2">
        <v>20</v>
      </c>
      <c r="P177" s="2">
        <v>6</v>
      </c>
      <c r="Q177" s="2">
        <v>4</v>
      </c>
      <c r="R177" s="2">
        <v>10</v>
      </c>
      <c r="S177" s="6">
        <v>0.3</v>
      </c>
      <c r="T177" s="6">
        <v>0.28499999999999998</v>
      </c>
      <c r="U177" s="6">
        <f t="shared" si="5"/>
        <v>1.5000000000000013E-2</v>
      </c>
    </row>
    <row r="178" spans="1:21" x14ac:dyDescent="0.3">
      <c r="A178" s="2" t="s">
        <v>114</v>
      </c>
      <c r="B178" s="2">
        <v>7</v>
      </c>
      <c r="C178" s="2" t="s">
        <v>91</v>
      </c>
      <c r="D178" s="2" t="s">
        <v>50</v>
      </c>
      <c r="E178" s="2">
        <v>570</v>
      </c>
      <c r="F178" s="2">
        <v>810</v>
      </c>
      <c r="G178" s="2">
        <v>10</v>
      </c>
      <c r="H178" s="2">
        <v>20</v>
      </c>
      <c r="I178" s="2">
        <v>60</v>
      </c>
      <c r="J178" s="3">
        <v>5.0000000000000001E-3</v>
      </c>
      <c r="K178" s="4">
        <v>56827</v>
      </c>
      <c r="L178" s="4">
        <v>-686</v>
      </c>
      <c r="M178" s="4">
        <v>1751</v>
      </c>
      <c r="N178" s="5">
        <v>71.599999999999994</v>
      </c>
      <c r="O178" s="2">
        <v>12</v>
      </c>
      <c r="P178" s="2">
        <v>4</v>
      </c>
      <c r="Q178" s="2">
        <v>2</v>
      </c>
      <c r="R178" s="2">
        <v>6</v>
      </c>
      <c r="S178" s="6">
        <v>0.33300000000000002</v>
      </c>
      <c r="T178" s="6">
        <v>0.25900000000000001</v>
      </c>
      <c r="U178" s="6">
        <f t="shared" si="5"/>
        <v>7.400000000000001E-2</v>
      </c>
    </row>
    <row r="179" spans="1:21" x14ac:dyDescent="0.3">
      <c r="A179" s="2" t="s">
        <v>114</v>
      </c>
      <c r="B179" s="2">
        <v>8</v>
      </c>
      <c r="C179" s="2" t="s">
        <v>77</v>
      </c>
      <c r="D179" s="2" t="s">
        <v>36</v>
      </c>
      <c r="E179" s="2">
        <v>7</v>
      </c>
      <c r="F179" s="2">
        <v>450</v>
      </c>
      <c r="G179" s="2">
        <v>10</v>
      </c>
      <c r="H179" s="2">
        <v>15</v>
      </c>
      <c r="I179" s="2">
        <v>40</v>
      </c>
      <c r="J179" s="3">
        <v>5.0000000000000001E-3</v>
      </c>
      <c r="K179" s="4">
        <v>56546</v>
      </c>
      <c r="L179" s="4">
        <v>3918</v>
      </c>
      <c r="M179" s="4">
        <v>1227</v>
      </c>
      <c r="N179" s="5">
        <v>39.700000000000003</v>
      </c>
      <c r="O179" s="2">
        <v>29</v>
      </c>
      <c r="P179" s="2">
        <v>9</v>
      </c>
      <c r="Q179" s="2">
        <v>4</v>
      </c>
      <c r="R179" s="2">
        <v>16</v>
      </c>
      <c r="S179" s="6">
        <v>0.31</v>
      </c>
      <c r="T179" s="6">
        <v>0.28499999999999998</v>
      </c>
      <c r="U179" s="6">
        <f t="shared" si="5"/>
        <v>2.5000000000000022E-2</v>
      </c>
    </row>
    <row r="180" spans="1:21" x14ac:dyDescent="0.3">
      <c r="A180" s="2" t="s">
        <v>114</v>
      </c>
      <c r="B180" s="2">
        <v>9</v>
      </c>
      <c r="C180" s="2" t="s">
        <v>113</v>
      </c>
      <c r="D180" s="2" t="s">
        <v>58</v>
      </c>
      <c r="E180" s="2">
        <v>180</v>
      </c>
      <c r="F180" s="2">
        <v>780</v>
      </c>
      <c r="G180" s="2">
        <v>15</v>
      </c>
      <c r="H180" s="2">
        <v>20</v>
      </c>
      <c r="I180" s="2">
        <v>60</v>
      </c>
      <c r="J180" s="3">
        <v>5.0000000000000001E-3</v>
      </c>
      <c r="K180" s="4">
        <v>55883</v>
      </c>
      <c r="L180" s="4">
        <v>179</v>
      </c>
      <c r="M180" s="4">
        <v>2725</v>
      </c>
      <c r="N180" s="5">
        <v>110.2</v>
      </c>
      <c r="O180" s="2">
        <v>14</v>
      </c>
      <c r="P180" s="2">
        <v>5</v>
      </c>
      <c r="Q180" s="2">
        <v>3</v>
      </c>
      <c r="R180" s="2">
        <v>6</v>
      </c>
      <c r="S180" s="6">
        <v>0.35699999999999998</v>
      </c>
      <c r="T180" s="6">
        <v>0.25900000000000001</v>
      </c>
      <c r="U180" s="6">
        <f t="shared" si="5"/>
        <v>9.7999999999999976E-2</v>
      </c>
    </row>
    <row r="181" spans="1:21" x14ac:dyDescent="0.3">
      <c r="A181" s="2" t="s">
        <v>114</v>
      </c>
      <c r="B181" s="2">
        <v>10</v>
      </c>
      <c r="C181" s="2" t="s">
        <v>54</v>
      </c>
      <c r="D181" s="2" t="s">
        <v>58</v>
      </c>
      <c r="E181" s="2">
        <v>390</v>
      </c>
      <c r="F181" s="2">
        <v>780</v>
      </c>
      <c r="G181" s="2">
        <v>15</v>
      </c>
      <c r="H181" s="2">
        <v>25</v>
      </c>
      <c r="I181" s="2">
        <v>70</v>
      </c>
      <c r="J181" s="3">
        <v>5.0000000000000001E-3</v>
      </c>
      <c r="K181" s="4">
        <v>55461</v>
      </c>
      <c r="L181" s="4">
        <v>176</v>
      </c>
      <c r="M181" s="4">
        <v>524</v>
      </c>
      <c r="N181" s="5">
        <v>28</v>
      </c>
      <c r="O181" s="2">
        <v>10</v>
      </c>
      <c r="P181" s="2">
        <v>3</v>
      </c>
      <c r="Q181" s="2">
        <v>2</v>
      </c>
      <c r="R181" s="2">
        <v>5</v>
      </c>
      <c r="S181" s="6">
        <v>0.3</v>
      </c>
      <c r="T181" s="6">
        <v>0.27100000000000002</v>
      </c>
      <c r="U181" s="6">
        <f t="shared" si="5"/>
        <v>2.899999999999997E-2</v>
      </c>
    </row>
    <row r="182" spans="1:21" x14ac:dyDescent="0.3">
      <c r="A182" s="2" t="s">
        <v>115</v>
      </c>
      <c r="B182" s="2">
        <v>1</v>
      </c>
      <c r="C182" s="2" t="s">
        <v>106</v>
      </c>
      <c r="D182" s="2" t="s">
        <v>58</v>
      </c>
      <c r="E182" s="2">
        <v>25</v>
      </c>
      <c r="F182" s="2">
        <v>780</v>
      </c>
      <c r="G182" s="2">
        <v>15</v>
      </c>
      <c r="H182" s="2">
        <v>20</v>
      </c>
      <c r="I182" s="2">
        <v>60</v>
      </c>
      <c r="J182" s="3">
        <v>5.0000000000000001E-3</v>
      </c>
      <c r="K182" s="4">
        <v>72927</v>
      </c>
      <c r="L182" s="4">
        <v>2280</v>
      </c>
      <c r="M182" s="4">
        <v>5883</v>
      </c>
      <c r="N182" s="5">
        <v>231.6</v>
      </c>
      <c r="O182" s="2">
        <v>12</v>
      </c>
      <c r="P182" s="2">
        <v>6</v>
      </c>
      <c r="Q182" s="2">
        <v>2</v>
      </c>
      <c r="R182" s="2">
        <v>4</v>
      </c>
      <c r="S182" s="6">
        <v>0.5</v>
      </c>
      <c r="T182" s="6">
        <v>0.25900000000000001</v>
      </c>
      <c r="U182" s="6">
        <f t="shared" si="5"/>
        <v>0.24099999999999999</v>
      </c>
    </row>
    <row r="183" spans="1:21" x14ac:dyDescent="0.3">
      <c r="A183" s="2" t="s">
        <v>115</v>
      </c>
      <c r="B183" s="2">
        <v>2</v>
      </c>
      <c r="C183" s="2" t="s">
        <v>76</v>
      </c>
      <c r="D183" s="2" t="s">
        <v>57</v>
      </c>
      <c r="E183" s="2">
        <v>5</v>
      </c>
      <c r="F183" s="2">
        <v>420</v>
      </c>
      <c r="G183" s="2">
        <v>10</v>
      </c>
      <c r="H183" s="2">
        <v>10</v>
      </c>
      <c r="I183" s="2">
        <v>30</v>
      </c>
      <c r="J183" s="3">
        <v>5.0000000000000001E-3</v>
      </c>
      <c r="K183" s="4">
        <v>71552</v>
      </c>
      <c r="L183" s="4">
        <v>11552</v>
      </c>
      <c r="M183" s="4">
        <v>-5595</v>
      </c>
      <c r="N183" s="5">
        <v>-113.1</v>
      </c>
      <c r="O183" s="2">
        <v>33</v>
      </c>
      <c r="P183" s="2">
        <v>6</v>
      </c>
      <c r="Q183" s="2">
        <v>12</v>
      </c>
      <c r="R183" s="2">
        <v>15</v>
      </c>
      <c r="S183" s="6">
        <v>0.182</v>
      </c>
      <c r="T183" s="6">
        <v>0.26800000000000002</v>
      </c>
      <c r="U183" s="6">
        <f t="shared" si="5"/>
        <v>-8.6000000000000021E-2</v>
      </c>
    </row>
    <row r="184" spans="1:21" x14ac:dyDescent="0.3">
      <c r="A184" s="2" t="s">
        <v>115</v>
      </c>
      <c r="B184" s="2">
        <v>3</v>
      </c>
      <c r="C184" s="2" t="s">
        <v>106</v>
      </c>
      <c r="D184" s="2" t="s">
        <v>111</v>
      </c>
      <c r="E184" s="2">
        <v>25</v>
      </c>
      <c r="F184" s="2">
        <v>960</v>
      </c>
      <c r="G184" s="2">
        <v>10</v>
      </c>
      <c r="H184" s="2">
        <v>20</v>
      </c>
      <c r="I184" s="2">
        <v>60</v>
      </c>
      <c r="J184" s="3">
        <v>5.0000000000000001E-3</v>
      </c>
      <c r="K184" s="4">
        <v>66038</v>
      </c>
      <c r="L184" s="4">
        <v>6434</v>
      </c>
      <c r="M184" s="4">
        <v>3796</v>
      </c>
      <c r="N184" s="5">
        <v>151.6</v>
      </c>
      <c r="O184" s="2">
        <v>12</v>
      </c>
      <c r="P184" s="2">
        <v>5</v>
      </c>
      <c r="Q184" s="2">
        <v>3</v>
      </c>
      <c r="R184" s="2">
        <v>4</v>
      </c>
      <c r="S184" s="6">
        <v>0.41699999999999998</v>
      </c>
      <c r="T184" s="6">
        <v>0.25900000000000001</v>
      </c>
      <c r="U184" s="6">
        <f t="shared" si="5"/>
        <v>0.15799999999999997</v>
      </c>
    </row>
    <row r="185" spans="1:21" x14ac:dyDescent="0.3">
      <c r="A185" s="2" t="s">
        <v>115</v>
      </c>
      <c r="B185" s="2">
        <v>4</v>
      </c>
      <c r="C185" s="2" t="s">
        <v>83</v>
      </c>
      <c r="D185" s="2" t="s">
        <v>57</v>
      </c>
      <c r="E185" s="2">
        <v>4</v>
      </c>
      <c r="F185" s="2">
        <v>420</v>
      </c>
      <c r="G185" s="2">
        <v>10</v>
      </c>
      <c r="H185" s="2">
        <v>10</v>
      </c>
      <c r="I185" s="2">
        <v>30</v>
      </c>
      <c r="J185" s="3">
        <v>5.0000000000000001E-3</v>
      </c>
      <c r="K185" s="4">
        <v>62223</v>
      </c>
      <c r="L185" s="4">
        <v>13795</v>
      </c>
      <c r="M185" s="4">
        <v>-6958</v>
      </c>
      <c r="N185" s="5">
        <v>-142.4</v>
      </c>
      <c r="O185" s="2">
        <v>32</v>
      </c>
      <c r="P185" s="2">
        <v>5</v>
      </c>
      <c r="Q185" s="2">
        <v>12</v>
      </c>
      <c r="R185" s="2">
        <v>15</v>
      </c>
      <c r="S185" s="6">
        <v>0.156</v>
      </c>
      <c r="T185" s="6">
        <v>0.26800000000000002</v>
      </c>
      <c r="U185" s="6">
        <f t="shared" si="5"/>
        <v>-0.11200000000000002</v>
      </c>
    </row>
    <row r="186" spans="1:21" x14ac:dyDescent="0.3">
      <c r="A186" s="2" t="s">
        <v>115</v>
      </c>
      <c r="B186" s="2">
        <v>5</v>
      </c>
      <c r="C186" s="2" t="s">
        <v>36</v>
      </c>
      <c r="D186" s="2" t="s">
        <v>58</v>
      </c>
      <c r="E186" s="2">
        <v>450</v>
      </c>
      <c r="F186" s="2">
        <v>780</v>
      </c>
      <c r="G186" s="2">
        <v>20</v>
      </c>
      <c r="H186" s="2">
        <v>10</v>
      </c>
      <c r="I186" s="2">
        <v>30</v>
      </c>
      <c r="J186" s="3">
        <v>5.0000000000000001E-3</v>
      </c>
      <c r="K186" s="4">
        <v>60546</v>
      </c>
      <c r="L186" s="4">
        <v>143</v>
      </c>
      <c r="M186" s="4">
        <v>299</v>
      </c>
      <c r="N186" s="5">
        <v>7.4</v>
      </c>
      <c r="O186" s="2">
        <v>18</v>
      </c>
      <c r="P186" s="2">
        <v>5</v>
      </c>
      <c r="Q186" s="2">
        <v>6</v>
      </c>
      <c r="R186" s="2">
        <v>7</v>
      </c>
      <c r="S186" s="6">
        <v>0.27800000000000002</v>
      </c>
      <c r="T186" s="6">
        <v>0.26800000000000002</v>
      </c>
      <c r="U186" s="6">
        <f t="shared" si="5"/>
        <v>1.0000000000000009E-2</v>
      </c>
    </row>
    <row r="187" spans="1:21" x14ac:dyDescent="0.3">
      <c r="A187" s="2" t="s">
        <v>115</v>
      </c>
      <c r="B187" s="2">
        <v>6</v>
      </c>
      <c r="C187" s="2" t="s">
        <v>82</v>
      </c>
      <c r="D187" s="2" t="s">
        <v>57</v>
      </c>
      <c r="E187" s="2">
        <v>3</v>
      </c>
      <c r="F187" s="2">
        <v>420</v>
      </c>
      <c r="G187" s="2">
        <v>10</v>
      </c>
      <c r="H187" s="2">
        <v>10</v>
      </c>
      <c r="I187" s="2">
        <v>30</v>
      </c>
      <c r="J187" s="3">
        <v>5.0000000000000001E-3</v>
      </c>
      <c r="K187" s="4">
        <v>59996</v>
      </c>
      <c r="L187" s="4">
        <v>10361</v>
      </c>
      <c r="M187" s="4">
        <v>-7951</v>
      </c>
      <c r="N187" s="5">
        <v>-163.80000000000001</v>
      </c>
      <c r="O187" s="2">
        <v>34</v>
      </c>
      <c r="P187" s="2">
        <v>5</v>
      </c>
      <c r="Q187" s="2">
        <v>11</v>
      </c>
      <c r="R187" s="2">
        <v>18</v>
      </c>
      <c r="S187" s="6">
        <v>0.14699999999999999</v>
      </c>
      <c r="T187" s="6">
        <v>0.26800000000000002</v>
      </c>
      <c r="U187" s="6">
        <f t="shared" si="5"/>
        <v>-0.12100000000000002</v>
      </c>
    </row>
    <row r="188" spans="1:21" x14ac:dyDescent="0.3">
      <c r="A188" s="2" t="s">
        <v>115</v>
      </c>
      <c r="B188" s="2">
        <v>7</v>
      </c>
      <c r="C188" s="2" t="s">
        <v>51</v>
      </c>
      <c r="D188" s="2" t="s">
        <v>58</v>
      </c>
      <c r="E188" s="2">
        <v>300</v>
      </c>
      <c r="F188" s="2">
        <v>780</v>
      </c>
      <c r="G188" s="2">
        <v>10</v>
      </c>
      <c r="H188" s="2">
        <v>20</v>
      </c>
      <c r="I188" s="2">
        <v>60</v>
      </c>
      <c r="J188" s="3">
        <v>5.0000000000000001E-3</v>
      </c>
      <c r="K188" s="4">
        <v>58194</v>
      </c>
      <c r="L188" s="4">
        <v>3259</v>
      </c>
      <c r="M188" s="4">
        <v>3796</v>
      </c>
      <c r="N188" s="5">
        <v>151.6</v>
      </c>
      <c r="O188" s="2">
        <v>12</v>
      </c>
      <c r="P188" s="2">
        <v>5</v>
      </c>
      <c r="Q188" s="2">
        <v>2</v>
      </c>
      <c r="R188" s="2">
        <v>5</v>
      </c>
      <c r="S188" s="6">
        <v>0.41699999999999998</v>
      </c>
      <c r="T188" s="6">
        <v>0.25900000000000001</v>
      </c>
      <c r="U188" s="6">
        <f t="shared" si="5"/>
        <v>0.15799999999999997</v>
      </c>
    </row>
    <row r="189" spans="1:21" x14ac:dyDescent="0.3">
      <c r="A189" s="2" t="s">
        <v>115</v>
      </c>
      <c r="B189" s="2">
        <v>8</v>
      </c>
      <c r="C189" s="2" t="s">
        <v>85</v>
      </c>
      <c r="D189" s="2" t="s">
        <v>57</v>
      </c>
      <c r="E189" s="2">
        <v>2</v>
      </c>
      <c r="F189" s="2">
        <v>420</v>
      </c>
      <c r="G189" s="2">
        <v>10</v>
      </c>
      <c r="H189" s="2">
        <v>10</v>
      </c>
      <c r="I189" s="2">
        <v>30</v>
      </c>
      <c r="J189" s="3">
        <v>5.0000000000000001E-3</v>
      </c>
      <c r="K189" s="4">
        <v>57198</v>
      </c>
      <c r="L189" s="4">
        <v>10361</v>
      </c>
      <c r="M189" s="4">
        <v>-7102</v>
      </c>
      <c r="N189" s="5">
        <v>-145.19999999999999</v>
      </c>
      <c r="O189" s="2">
        <v>36</v>
      </c>
      <c r="P189" s="2">
        <v>6</v>
      </c>
      <c r="Q189" s="2">
        <v>12</v>
      </c>
      <c r="R189" s="2">
        <v>18</v>
      </c>
      <c r="S189" s="6">
        <v>0.16700000000000001</v>
      </c>
      <c r="T189" s="6">
        <v>0.26800000000000002</v>
      </c>
      <c r="U189" s="6">
        <f t="shared" si="5"/>
        <v>-0.10100000000000001</v>
      </c>
    </row>
    <row r="190" spans="1:21" x14ac:dyDescent="0.3">
      <c r="A190" s="2" t="s">
        <v>115</v>
      </c>
      <c r="B190" s="2">
        <v>9</v>
      </c>
      <c r="C190" s="2" t="s">
        <v>37</v>
      </c>
      <c r="D190" s="2" t="s">
        <v>53</v>
      </c>
      <c r="E190" s="2">
        <v>480</v>
      </c>
      <c r="F190" s="2">
        <v>720</v>
      </c>
      <c r="G190" s="2">
        <v>20</v>
      </c>
      <c r="H190" s="2">
        <v>15</v>
      </c>
      <c r="I190" s="2">
        <v>40</v>
      </c>
      <c r="J190" s="3">
        <v>5.0000000000000001E-3</v>
      </c>
      <c r="K190" s="4">
        <v>56304</v>
      </c>
      <c r="L190" s="4">
        <v>7241</v>
      </c>
      <c r="M190" s="4">
        <v>-564</v>
      </c>
      <c r="N190" s="5">
        <v>-15.5</v>
      </c>
      <c r="O190" s="2">
        <v>15</v>
      </c>
      <c r="P190" s="2">
        <v>4</v>
      </c>
      <c r="Q190" s="2">
        <v>4</v>
      </c>
      <c r="R190" s="2">
        <v>7</v>
      </c>
      <c r="S190" s="6">
        <v>0.26700000000000002</v>
      </c>
      <c r="T190" s="6">
        <v>0.28499999999999998</v>
      </c>
      <c r="U190" s="6">
        <f t="shared" si="5"/>
        <v>-1.799999999999996E-2</v>
      </c>
    </row>
    <row r="191" spans="1:21" x14ac:dyDescent="0.3">
      <c r="A191" s="2" t="s">
        <v>115</v>
      </c>
      <c r="B191" s="2">
        <v>10</v>
      </c>
      <c r="C191" s="2" t="s">
        <v>113</v>
      </c>
      <c r="D191" s="2" t="s">
        <v>58</v>
      </c>
      <c r="E191" s="2">
        <v>180</v>
      </c>
      <c r="F191" s="2">
        <v>780</v>
      </c>
      <c r="G191" s="2">
        <v>15</v>
      </c>
      <c r="H191" s="2">
        <v>20</v>
      </c>
      <c r="I191" s="2">
        <v>60</v>
      </c>
      <c r="J191" s="3">
        <v>5.0000000000000001E-3</v>
      </c>
      <c r="K191" s="4">
        <v>54667</v>
      </c>
      <c r="L191" s="4">
        <v>2725</v>
      </c>
      <c r="M191" s="4">
        <v>-2726</v>
      </c>
      <c r="N191" s="5">
        <v>-109.1</v>
      </c>
      <c r="O191" s="2">
        <v>13</v>
      </c>
      <c r="P191" s="2">
        <v>2</v>
      </c>
      <c r="Q191" s="2">
        <v>7</v>
      </c>
      <c r="R191" s="2">
        <v>4</v>
      </c>
      <c r="S191" s="6">
        <v>0.154</v>
      </c>
      <c r="T191" s="6">
        <v>0.25900000000000001</v>
      </c>
      <c r="U191" s="6">
        <f t="shared" si="5"/>
        <v>-0.10500000000000001</v>
      </c>
    </row>
  </sheetData>
  <autoFilter ref="A1:U191" xr:uid="{00000000-0009-0000-0000-000000000000}"/>
  <conditionalFormatting sqref="S2:S191">
    <cfRule type="expression" dxfId="0" priority="1">
      <formula>S2&gt;=T2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/>
  </sheetViews>
  <sheetFormatPr defaultRowHeight="14.4" x14ac:dyDescent="0.3"/>
  <cols>
    <col min="1" max="1" width="7" customWidth="1"/>
    <col min="2" max="3" width="9" customWidth="1"/>
    <col min="4" max="4" width="12" customWidth="1"/>
    <col min="5" max="5" width="10" customWidth="1"/>
    <col min="6" max="7" width="8" customWidth="1"/>
    <col min="8" max="8" width="11" customWidth="1"/>
    <col min="9" max="9" width="7" customWidth="1"/>
    <col min="10" max="10" width="10" customWidth="1"/>
    <col min="11" max="11" width="13" customWidth="1"/>
    <col min="12" max="12" width="9" customWidth="1"/>
  </cols>
  <sheetData>
    <row r="1" spans="1:12" ht="26.4" x14ac:dyDescent="0.3">
      <c r="A1" s="1" t="s">
        <v>1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120</v>
      </c>
      <c r="K1" s="1" t="s">
        <v>121</v>
      </c>
      <c r="L1" s="1" t="s">
        <v>122</v>
      </c>
    </row>
    <row r="2" spans="1:12" x14ac:dyDescent="0.3">
      <c r="A2" s="2">
        <v>1</v>
      </c>
      <c r="B2" s="2">
        <f>COUNTIFS(Прогнозы!$B$2:$B$191,$A2)</f>
        <v>19</v>
      </c>
      <c r="C2" s="2">
        <f>COUNTIFS(Прогнозы!$B$2:$B$191,$A2,Прогнозы!$M$2:$M$191,"&gt;0")</f>
        <v>10</v>
      </c>
      <c r="D2" s="4">
        <f>SUMIFS(Прогнозы!$M$2:$M$191,Прогнозы!$B$2:$B$191,$A2)</f>
        <v>4248</v>
      </c>
      <c r="E2" s="5">
        <f>SUMIFS(Прогнозы!$N$2:$N$191,Прогнозы!$B$2:$B$191,$A2)</f>
        <v>31.100000000000023</v>
      </c>
      <c r="F2" s="2">
        <f>SUMIFS(Прогнозы!$O$2:$O$191,Прогнозы!$B$2:$B$191,$A2)</f>
        <v>527</v>
      </c>
      <c r="G2" s="2">
        <f>SUMIFS(Прогнозы!$P$2:$P$191,Прогнозы!$B$2:$B$191,$A2)</f>
        <v>146</v>
      </c>
      <c r="H2" s="2">
        <f>SUMIFS(Прогнозы!$Q$2:$Q$191,Прогнозы!$B$2:$B$191,$A2)</f>
        <v>126</v>
      </c>
      <c r="I2" s="2">
        <f>SUMIFS(Прогнозы!$R$2:$R$191,Прогнозы!$B$2:$B$191,$A2)</f>
        <v>255</v>
      </c>
      <c r="J2" s="6">
        <f t="shared" ref="J2:J12" si="0">IF(F2=0,0,G2/F2)</f>
        <v>0.27703984819734345</v>
      </c>
      <c r="K2" s="6">
        <f t="shared" ref="K2:K12" si="1">IF(F2=0,0,H2/F2)</f>
        <v>0.23908918406072105</v>
      </c>
      <c r="L2" s="6">
        <f t="shared" ref="L2:L12" si="2">IF(F2=0,0,I2/F2)</f>
        <v>0.4838709677419355</v>
      </c>
    </row>
    <row r="3" spans="1:12" x14ac:dyDescent="0.3">
      <c r="A3" s="2">
        <v>2</v>
      </c>
      <c r="B3" s="2">
        <f>COUNTIFS(Прогнозы!$B$2:$B$191,$A3)</f>
        <v>19</v>
      </c>
      <c r="C3" s="2">
        <f>COUNTIFS(Прогнозы!$B$2:$B$191,$A3,Прогнозы!$M$2:$M$191,"&gt;0")</f>
        <v>5</v>
      </c>
      <c r="D3" s="4">
        <f>SUMIFS(Прогнозы!$M$2:$M$191,Прогнозы!$B$2:$B$191,$A3)</f>
        <v>-41250</v>
      </c>
      <c r="E3" s="5">
        <f>SUMIFS(Прогнозы!$N$2:$N$191,Прогнозы!$B$2:$B$191,$A3)</f>
        <v>-898.79999999999984</v>
      </c>
      <c r="F3" s="2">
        <f>SUMIFS(Прогнозы!$O$2:$O$191,Прогнозы!$B$2:$B$191,$A3)</f>
        <v>584</v>
      </c>
      <c r="G3" s="2">
        <f>SUMIFS(Прогнозы!$P$2:$P$191,Прогнозы!$B$2:$B$191,$A3)</f>
        <v>135</v>
      </c>
      <c r="H3" s="2">
        <f>SUMIFS(Прогнозы!$Q$2:$Q$191,Прогнозы!$B$2:$B$191,$A3)</f>
        <v>150</v>
      </c>
      <c r="I3" s="2">
        <f>SUMIFS(Прогнозы!$R$2:$R$191,Прогнозы!$B$2:$B$191,$A3)</f>
        <v>299</v>
      </c>
      <c r="J3" s="6">
        <f t="shared" si="0"/>
        <v>0.23116438356164384</v>
      </c>
      <c r="K3" s="6">
        <f t="shared" si="1"/>
        <v>0.25684931506849318</v>
      </c>
      <c r="L3" s="6">
        <f t="shared" si="2"/>
        <v>0.51198630136986301</v>
      </c>
    </row>
    <row r="4" spans="1:12" x14ac:dyDescent="0.3">
      <c r="A4" s="2">
        <v>3</v>
      </c>
      <c r="B4" s="2">
        <f>COUNTIFS(Прогнозы!$B$2:$B$191,$A4)</f>
        <v>19</v>
      </c>
      <c r="C4" s="2">
        <f>COUNTIFS(Прогнозы!$B$2:$B$191,$A4,Прогнозы!$M$2:$M$191,"&gt;0")</f>
        <v>10</v>
      </c>
      <c r="D4" s="4">
        <f>SUMIFS(Прогнозы!$M$2:$M$191,Прогнозы!$B$2:$B$191,$A4)</f>
        <v>2546</v>
      </c>
      <c r="E4" s="5">
        <f>SUMIFS(Прогнозы!$N$2:$N$191,Прогнозы!$B$2:$B$191,$A4)</f>
        <v>162.79999999999995</v>
      </c>
      <c r="F4" s="2">
        <f>SUMIFS(Прогнозы!$O$2:$O$191,Прогнозы!$B$2:$B$191,$A4)</f>
        <v>496</v>
      </c>
      <c r="G4" s="2">
        <f>SUMIFS(Прогнозы!$P$2:$P$191,Прогнозы!$B$2:$B$191,$A4)</f>
        <v>139</v>
      </c>
      <c r="H4" s="2">
        <f>SUMIFS(Прогнозы!$Q$2:$Q$191,Прогнозы!$B$2:$B$191,$A4)</f>
        <v>120</v>
      </c>
      <c r="I4" s="2">
        <f>SUMIFS(Прогнозы!$R$2:$R$191,Прогнозы!$B$2:$B$191,$A4)</f>
        <v>237</v>
      </c>
      <c r="J4" s="6">
        <f t="shared" si="0"/>
        <v>0.28024193548387094</v>
      </c>
      <c r="K4" s="6">
        <f t="shared" si="1"/>
        <v>0.24193548387096775</v>
      </c>
      <c r="L4" s="6">
        <f t="shared" si="2"/>
        <v>0.47782258064516131</v>
      </c>
    </row>
    <row r="5" spans="1:12" x14ac:dyDescent="0.3">
      <c r="A5" s="2">
        <v>4</v>
      </c>
      <c r="B5" s="2">
        <f>COUNTIFS(Прогнозы!$B$2:$B$191,$A5)</f>
        <v>19</v>
      </c>
      <c r="C5" s="2">
        <f>COUNTIFS(Прогнозы!$B$2:$B$191,$A5,Прогнозы!$M$2:$M$191,"&gt;0")</f>
        <v>8</v>
      </c>
      <c r="D5" s="4">
        <f>SUMIFS(Прогнозы!$M$2:$M$191,Прогнозы!$B$2:$B$191,$A5)</f>
        <v>1439</v>
      </c>
      <c r="E5" s="5">
        <f>SUMIFS(Прогнозы!$N$2:$N$191,Прогнозы!$B$2:$B$191,$A5)</f>
        <v>-6.0000000000000284</v>
      </c>
      <c r="F5" s="2">
        <f>SUMIFS(Прогнозы!$O$2:$O$191,Прогнозы!$B$2:$B$191,$A5)</f>
        <v>480</v>
      </c>
      <c r="G5" s="2">
        <f>SUMIFS(Прогнозы!$P$2:$P$191,Прогнозы!$B$2:$B$191,$A5)</f>
        <v>131</v>
      </c>
      <c r="H5" s="2">
        <f>SUMIFS(Прогнозы!$Q$2:$Q$191,Прогнозы!$B$2:$B$191,$A5)</f>
        <v>134</v>
      </c>
      <c r="I5" s="2">
        <f>SUMIFS(Прогнозы!$R$2:$R$191,Прогнозы!$B$2:$B$191,$A5)</f>
        <v>215</v>
      </c>
      <c r="J5" s="6">
        <f t="shared" si="0"/>
        <v>0.27291666666666664</v>
      </c>
      <c r="K5" s="6">
        <f t="shared" si="1"/>
        <v>0.27916666666666667</v>
      </c>
      <c r="L5" s="6">
        <f t="shared" si="2"/>
        <v>0.44791666666666669</v>
      </c>
    </row>
    <row r="6" spans="1:12" x14ac:dyDescent="0.3">
      <c r="A6" s="2">
        <v>5</v>
      </c>
      <c r="B6" s="2">
        <f>COUNTIFS(Прогнозы!$B$2:$B$191,$A6)</f>
        <v>19</v>
      </c>
      <c r="C6" s="2">
        <f>COUNTIFS(Прогнозы!$B$2:$B$191,$A6,Прогнозы!$M$2:$M$191,"&gt;0")</f>
        <v>5</v>
      </c>
      <c r="D6" s="4">
        <f>SUMIFS(Прогнозы!$M$2:$M$191,Прогнозы!$B$2:$B$191,$A6)</f>
        <v>-37014</v>
      </c>
      <c r="E6" s="5">
        <f>SUMIFS(Прогнозы!$N$2:$N$191,Прогнозы!$B$2:$B$191,$A6)</f>
        <v>-1098.0999999999999</v>
      </c>
      <c r="F6" s="2">
        <f>SUMIFS(Прогнозы!$O$2:$O$191,Прогнозы!$B$2:$B$191,$A6)</f>
        <v>483</v>
      </c>
      <c r="G6" s="2">
        <f>SUMIFS(Прогнозы!$P$2:$P$191,Прогнозы!$B$2:$B$191,$A6)</f>
        <v>111</v>
      </c>
      <c r="H6" s="2">
        <f>SUMIFS(Прогнозы!$Q$2:$Q$191,Прогнозы!$B$2:$B$191,$A6)</f>
        <v>137</v>
      </c>
      <c r="I6" s="2">
        <f>SUMIFS(Прогнозы!$R$2:$R$191,Прогнозы!$B$2:$B$191,$A6)</f>
        <v>235</v>
      </c>
      <c r="J6" s="6">
        <f t="shared" si="0"/>
        <v>0.22981366459627328</v>
      </c>
      <c r="K6" s="6">
        <f t="shared" si="1"/>
        <v>0.28364389233954451</v>
      </c>
      <c r="L6" s="6">
        <f t="shared" si="2"/>
        <v>0.48654244306418221</v>
      </c>
    </row>
    <row r="7" spans="1:12" x14ac:dyDescent="0.3">
      <c r="A7" s="2">
        <v>6</v>
      </c>
      <c r="B7" s="2">
        <f>COUNTIFS(Прогнозы!$B$2:$B$191,$A7)</f>
        <v>19</v>
      </c>
      <c r="C7" s="2">
        <f>COUNTIFS(Прогнозы!$B$2:$B$191,$A7,Прогнозы!$M$2:$M$191,"&gt;0")</f>
        <v>10</v>
      </c>
      <c r="D7" s="4">
        <f>SUMIFS(Прогнозы!$M$2:$M$191,Прогнозы!$B$2:$B$191,$A7)</f>
        <v>12331</v>
      </c>
      <c r="E7" s="5">
        <f>SUMIFS(Прогнозы!$N$2:$N$191,Прогнозы!$B$2:$B$191,$A7)</f>
        <v>203.49999999999989</v>
      </c>
      <c r="F7" s="2">
        <f>SUMIFS(Прогнозы!$O$2:$O$191,Прогнозы!$B$2:$B$191,$A7)</f>
        <v>395</v>
      </c>
      <c r="G7" s="2">
        <f>SUMIFS(Прогнозы!$P$2:$P$191,Прогнозы!$B$2:$B$191,$A7)</f>
        <v>113</v>
      </c>
      <c r="H7" s="2">
        <f>SUMIFS(Прогнозы!$Q$2:$Q$191,Прогнозы!$B$2:$B$191,$A7)</f>
        <v>96</v>
      </c>
      <c r="I7" s="2">
        <f>SUMIFS(Прогнозы!$R$2:$R$191,Прогнозы!$B$2:$B$191,$A7)</f>
        <v>186</v>
      </c>
      <c r="J7" s="6">
        <f t="shared" si="0"/>
        <v>0.28607594936708863</v>
      </c>
      <c r="K7" s="6">
        <f t="shared" si="1"/>
        <v>0.24303797468354429</v>
      </c>
      <c r="L7" s="6">
        <f t="shared" si="2"/>
        <v>0.4708860759493671</v>
      </c>
    </row>
    <row r="8" spans="1:12" x14ac:dyDescent="0.3">
      <c r="A8" s="2">
        <v>7</v>
      </c>
      <c r="B8" s="2">
        <f>COUNTIFS(Прогнозы!$B$2:$B$191,$A8)</f>
        <v>19</v>
      </c>
      <c r="C8" s="2">
        <f>COUNTIFS(Прогнозы!$B$2:$B$191,$A8,Прогнозы!$M$2:$M$191,"&gt;0")</f>
        <v>5</v>
      </c>
      <c r="D8" s="4">
        <f>SUMIFS(Прогнозы!$M$2:$M$191,Прогнозы!$B$2:$B$191,$A8)</f>
        <v>-19822</v>
      </c>
      <c r="E8" s="5">
        <f>SUMIFS(Прогнозы!$N$2:$N$191,Прогнозы!$B$2:$B$191,$A8)</f>
        <v>-358.9</v>
      </c>
      <c r="F8" s="2">
        <f>SUMIFS(Прогнозы!$O$2:$O$191,Прогнозы!$B$2:$B$191,$A8)</f>
        <v>427</v>
      </c>
      <c r="G8" s="2">
        <f>SUMIFS(Прогнозы!$P$2:$P$191,Прогнозы!$B$2:$B$191,$A8)</f>
        <v>104</v>
      </c>
      <c r="H8" s="2">
        <f>SUMIFS(Прогнозы!$Q$2:$Q$191,Прогнозы!$B$2:$B$191,$A8)</f>
        <v>105</v>
      </c>
      <c r="I8" s="2">
        <f>SUMIFS(Прогнозы!$R$2:$R$191,Прогнозы!$B$2:$B$191,$A8)</f>
        <v>218</v>
      </c>
      <c r="J8" s="6">
        <f t="shared" si="0"/>
        <v>0.24355971896955503</v>
      </c>
      <c r="K8" s="6">
        <f t="shared" si="1"/>
        <v>0.24590163934426229</v>
      </c>
      <c r="L8" s="6">
        <f t="shared" si="2"/>
        <v>0.51053864168618268</v>
      </c>
    </row>
    <row r="9" spans="1:12" x14ac:dyDescent="0.3">
      <c r="A9" s="2">
        <v>8</v>
      </c>
      <c r="B9" s="2">
        <f>COUNTIFS(Прогнозы!$B$2:$B$191,$A9)</f>
        <v>19</v>
      </c>
      <c r="C9" s="2">
        <f>COUNTIFS(Прогнозы!$B$2:$B$191,$A9,Прогнозы!$M$2:$M$191,"&gt;0")</f>
        <v>7</v>
      </c>
      <c r="D9" s="4">
        <f>SUMIFS(Прогнозы!$M$2:$M$191,Прогнозы!$B$2:$B$191,$A9)</f>
        <v>-21304</v>
      </c>
      <c r="E9" s="5">
        <f>SUMIFS(Прогнозы!$N$2:$N$191,Прогнозы!$B$2:$B$191,$A9)</f>
        <v>-496.6</v>
      </c>
      <c r="F9" s="2">
        <f>SUMIFS(Прогнозы!$O$2:$O$191,Прогнозы!$B$2:$B$191,$A9)</f>
        <v>488</v>
      </c>
      <c r="G9" s="2">
        <f>SUMIFS(Прогнозы!$P$2:$P$191,Прогнозы!$B$2:$B$191,$A9)</f>
        <v>121</v>
      </c>
      <c r="H9" s="2">
        <f>SUMIFS(Прогнозы!$Q$2:$Q$191,Прогнозы!$B$2:$B$191,$A9)</f>
        <v>119</v>
      </c>
      <c r="I9" s="2">
        <f>SUMIFS(Прогнозы!$R$2:$R$191,Прогнозы!$B$2:$B$191,$A9)</f>
        <v>248</v>
      </c>
      <c r="J9" s="6">
        <f t="shared" si="0"/>
        <v>0.24795081967213115</v>
      </c>
      <c r="K9" s="6">
        <f t="shared" si="1"/>
        <v>0.24385245901639344</v>
      </c>
      <c r="L9" s="6">
        <f t="shared" si="2"/>
        <v>0.50819672131147542</v>
      </c>
    </row>
    <row r="10" spans="1:12" x14ac:dyDescent="0.3">
      <c r="A10" s="2">
        <v>9</v>
      </c>
      <c r="B10" s="2">
        <f>COUNTIFS(Прогнозы!$B$2:$B$191,$A10)</f>
        <v>19</v>
      </c>
      <c r="C10" s="2">
        <f>COUNTIFS(Прогнозы!$B$2:$B$191,$A10,Прогнозы!$M$2:$M$191,"&gt;0")</f>
        <v>9</v>
      </c>
      <c r="D10" s="4">
        <f>SUMIFS(Прогнозы!$M$2:$M$191,Прогнозы!$B$2:$B$191,$A10)</f>
        <v>-16512</v>
      </c>
      <c r="E10" s="5">
        <f>SUMIFS(Прогнозы!$N$2:$N$191,Прогнозы!$B$2:$B$191,$A10)</f>
        <v>-370.09999999999997</v>
      </c>
      <c r="F10" s="2">
        <f>SUMIFS(Прогнозы!$O$2:$O$191,Прогнозы!$B$2:$B$191,$A10)</f>
        <v>543</v>
      </c>
      <c r="G10" s="2">
        <f>SUMIFS(Прогнозы!$P$2:$P$191,Прогнозы!$B$2:$B$191,$A10)</f>
        <v>138</v>
      </c>
      <c r="H10" s="2">
        <f>SUMIFS(Прогнозы!$Q$2:$Q$191,Прогнозы!$B$2:$B$191,$A10)</f>
        <v>126</v>
      </c>
      <c r="I10" s="2">
        <f>SUMIFS(Прогнозы!$R$2:$R$191,Прогнозы!$B$2:$B$191,$A10)</f>
        <v>279</v>
      </c>
      <c r="J10" s="6">
        <f t="shared" si="0"/>
        <v>0.2541436464088398</v>
      </c>
      <c r="K10" s="6">
        <f t="shared" si="1"/>
        <v>0.23204419889502761</v>
      </c>
      <c r="L10" s="6">
        <f t="shared" si="2"/>
        <v>0.51381215469613262</v>
      </c>
    </row>
    <row r="11" spans="1:12" x14ac:dyDescent="0.3">
      <c r="A11" s="2">
        <v>10</v>
      </c>
      <c r="B11" s="2">
        <f>COUNTIFS(Прогнозы!$B$2:$B$191,$A11)</f>
        <v>19</v>
      </c>
      <c r="C11" s="2">
        <f>COUNTIFS(Прогнозы!$B$2:$B$191,$A11,Прогнозы!$M$2:$M$191,"&gt;0")</f>
        <v>11</v>
      </c>
      <c r="D11" s="4">
        <f>SUMIFS(Прогнозы!$M$2:$M$191,Прогнозы!$B$2:$B$191,$A11)</f>
        <v>3456</v>
      </c>
      <c r="E11" s="5">
        <f>SUMIFS(Прогнозы!$N$2:$N$191,Прогнозы!$B$2:$B$191,$A11)</f>
        <v>-5.7000000000000171</v>
      </c>
      <c r="F11" s="2">
        <f>SUMIFS(Прогнозы!$O$2:$O$191,Прогнозы!$B$2:$B$191,$A11)</f>
        <v>451</v>
      </c>
      <c r="G11" s="2">
        <f>SUMIFS(Прогнозы!$P$2:$P$191,Прогнозы!$B$2:$B$191,$A11)</f>
        <v>131</v>
      </c>
      <c r="H11" s="2">
        <f>SUMIFS(Прогнозы!$Q$2:$Q$191,Прогнозы!$B$2:$B$191,$A11)</f>
        <v>109</v>
      </c>
      <c r="I11" s="2">
        <f>SUMIFS(Прогнозы!$R$2:$R$191,Прогнозы!$B$2:$B$191,$A11)</f>
        <v>211</v>
      </c>
      <c r="J11" s="6">
        <f t="shared" si="0"/>
        <v>0.29046563192904656</v>
      </c>
      <c r="K11" s="6">
        <f t="shared" si="1"/>
        <v>0.24168514412416853</v>
      </c>
      <c r="L11" s="6">
        <f t="shared" si="2"/>
        <v>0.46784922394678491</v>
      </c>
    </row>
    <row r="12" spans="1:12" x14ac:dyDescent="0.3">
      <c r="A12" s="7" t="s">
        <v>123</v>
      </c>
      <c r="B12" s="7">
        <f t="shared" ref="B12:I12" si="3">SUM(B2:B11)</f>
        <v>190</v>
      </c>
      <c r="C12" s="7">
        <f t="shared" si="3"/>
        <v>80</v>
      </c>
      <c r="D12" s="8">
        <f t="shared" si="3"/>
        <v>-111882</v>
      </c>
      <c r="E12" s="9">
        <f t="shared" si="3"/>
        <v>-2836.7999999999997</v>
      </c>
      <c r="F12" s="7">
        <f t="shared" si="3"/>
        <v>4874</v>
      </c>
      <c r="G12" s="7">
        <f t="shared" si="3"/>
        <v>1269</v>
      </c>
      <c r="H12" s="7">
        <f t="shared" si="3"/>
        <v>1222</v>
      </c>
      <c r="I12" s="7">
        <f t="shared" si="3"/>
        <v>2383</v>
      </c>
      <c r="J12" s="10">
        <f t="shared" si="0"/>
        <v>0.26036109971276161</v>
      </c>
      <c r="K12" s="10">
        <f t="shared" si="1"/>
        <v>0.25071809601969636</v>
      </c>
      <c r="L12" s="10">
        <f t="shared" si="2"/>
        <v>0.48892080426754209</v>
      </c>
    </row>
    <row r="14" spans="1:12" x14ac:dyDescent="0.3">
      <c r="A14" s="11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defaultRowHeight="14.4" x14ac:dyDescent="0.3"/>
  <cols>
    <col min="1" max="1" width="9" customWidth="1"/>
    <col min="2" max="3" width="14" customWidth="1"/>
    <col min="4" max="4" width="12" customWidth="1"/>
    <col min="5" max="6" width="8" customWidth="1"/>
    <col min="7" max="7" width="11" customWidth="1"/>
    <col min="8" max="8" width="7" customWidth="1"/>
    <col min="9" max="9" width="10" customWidth="1"/>
  </cols>
  <sheetData>
    <row r="1" spans="1:9" ht="39.6" x14ac:dyDescent="0.3">
      <c r="A1" s="1" t="s">
        <v>0</v>
      </c>
      <c r="B1" s="1" t="s">
        <v>125</v>
      </c>
      <c r="C1" s="1" t="s">
        <v>126</v>
      </c>
      <c r="D1" s="1" t="s">
        <v>127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120</v>
      </c>
    </row>
    <row r="2" spans="1:9" x14ac:dyDescent="0.3">
      <c r="A2" s="2" t="s">
        <v>21</v>
      </c>
      <c r="B2" s="4">
        <f>SUMIFS(Прогнозы!$M$2:$M$191,Прогнозы!$A$2:$A$191,$A2)</f>
        <v>-25336</v>
      </c>
      <c r="C2" s="4">
        <f>SUMIFS(Прогнозы!$M$2:$M$191,Прогнозы!$A$2:$A$191,$A2,Прогнозы!$B$2:$B$191,1)</f>
        <v>-6245</v>
      </c>
      <c r="D2" s="2">
        <f>COUNTIFS(Прогнозы!$A$2:$A$191,$A2,Прогнозы!$M$2:$M$191,"&gt;0")</f>
        <v>4</v>
      </c>
      <c r="E2" s="2">
        <f>SUMIFS(Прогнозы!$O$2:$O$191,Прогнозы!$A$2:$A$191,$A2)</f>
        <v>233</v>
      </c>
      <c r="F2" s="2">
        <f>SUMIFS(Прогнозы!$P$2:$P$191,Прогнозы!$A$2:$A$191,$A2)</f>
        <v>51</v>
      </c>
      <c r="G2" s="2">
        <f>SUMIFS(Прогнозы!$Q$2:$Q$191,Прогнозы!$A$2:$A$191,$A2)</f>
        <v>75</v>
      </c>
      <c r="H2" s="2">
        <f>SUMIFS(Прогнозы!$R$2:$R$191,Прогнозы!$A$2:$A$191,$A2)</f>
        <v>107</v>
      </c>
      <c r="I2" s="6">
        <f t="shared" ref="I2:I21" si="0">IF(E2=0,0,F2/E2)</f>
        <v>0.21888412017167383</v>
      </c>
    </row>
    <row r="3" spans="1:9" x14ac:dyDescent="0.3">
      <c r="A3" s="2" t="s">
        <v>42</v>
      </c>
      <c r="B3" s="4">
        <f>SUMIFS(Прогнозы!$M$2:$M$191,Прогнозы!$A$2:$A$191,$A3)</f>
        <v>-17434</v>
      </c>
      <c r="C3" s="4">
        <f>SUMIFS(Прогнозы!$M$2:$M$191,Прогнозы!$A$2:$A$191,$A3,Прогнозы!$B$2:$B$191,1)</f>
        <v>1610</v>
      </c>
      <c r="D3" s="2">
        <f>COUNTIFS(Прогнозы!$A$2:$A$191,$A3,Прогнозы!$M$2:$M$191,"&gt;0")</f>
        <v>3</v>
      </c>
      <c r="E3" s="2">
        <f>SUMIFS(Прогнозы!$O$2:$O$191,Прогнозы!$A$2:$A$191,$A3)</f>
        <v>192</v>
      </c>
      <c r="F3" s="2">
        <f>SUMIFS(Прогнозы!$P$2:$P$191,Прогнозы!$A$2:$A$191,$A3)</f>
        <v>43</v>
      </c>
      <c r="G3" s="2">
        <f>SUMIFS(Прогнозы!$Q$2:$Q$191,Прогнозы!$A$2:$A$191,$A3)</f>
        <v>59</v>
      </c>
      <c r="H3" s="2">
        <f>SUMIFS(Прогнозы!$R$2:$R$191,Прогнозы!$A$2:$A$191,$A3)</f>
        <v>90</v>
      </c>
      <c r="I3" s="6">
        <f t="shared" si="0"/>
        <v>0.22395833333333334</v>
      </c>
    </row>
    <row r="4" spans="1:9" x14ac:dyDescent="0.3">
      <c r="A4" s="2" t="s">
        <v>56</v>
      </c>
      <c r="B4" s="4">
        <f>SUMIFS(Прогнозы!$M$2:$M$191,Прогнозы!$A$2:$A$191,$A4)</f>
        <v>-3620</v>
      </c>
      <c r="C4" s="4">
        <f>SUMIFS(Прогнозы!$M$2:$M$191,Прогнозы!$A$2:$A$191,$A4,Прогнозы!$B$2:$B$191,1)</f>
        <v>-6307</v>
      </c>
      <c r="D4" s="2">
        <f>COUNTIFS(Прогнозы!$A$2:$A$191,$A4,Прогнозы!$M$2:$M$191,"&gt;0")</f>
        <v>5</v>
      </c>
      <c r="E4" s="2">
        <f>SUMIFS(Прогнозы!$O$2:$O$191,Прогнозы!$A$2:$A$191,$A4)</f>
        <v>272</v>
      </c>
      <c r="F4" s="2">
        <f>SUMIFS(Прогнозы!$P$2:$P$191,Прогнозы!$A$2:$A$191,$A4)</f>
        <v>73</v>
      </c>
      <c r="G4" s="2">
        <f>SUMIFS(Прогнозы!$Q$2:$Q$191,Прогнозы!$A$2:$A$191,$A4)</f>
        <v>67</v>
      </c>
      <c r="H4" s="2">
        <f>SUMIFS(Прогнозы!$R$2:$R$191,Прогнозы!$A$2:$A$191,$A4)</f>
        <v>132</v>
      </c>
      <c r="I4" s="6">
        <f t="shared" si="0"/>
        <v>0.26838235294117646</v>
      </c>
    </row>
    <row r="5" spans="1:9" x14ac:dyDescent="0.3">
      <c r="A5" s="2" t="s">
        <v>65</v>
      </c>
      <c r="B5" s="4">
        <f>SUMIFS(Прогнозы!$M$2:$M$191,Прогнозы!$A$2:$A$191,$A5)</f>
        <v>10153</v>
      </c>
      <c r="C5" s="4">
        <f>SUMIFS(Прогнозы!$M$2:$M$191,Прогнозы!$A$2:$A$191,$A5,Прогнозы!$B$2:$B$191,1)</f>
        <v>5415</v>
      </c>
      <c r="D5" s="2">
        <f>COUNTIFS(Прогнозы!$A$2:$A$191,$A5,Прогнозы!$M$2:$M$191,"&gt;0")</f>
        <v>5</v>
      </c>
      <c r="E5" s="2">
        <f>SUMIFS(Прогнозы!$O$2:$O$191,Прогнозы!$A$2:$A$191,$A5)</f>
        <v>432</v>
      </c>
      <c r="F5" s="2">
        <f>SUMIFS(Прогнозы!$P$2:$P$191,Прогнозы!$A$2:$A$191,$A5)</f>
        <v>125</v>
      </c>
      <c r="G5" s="2">
        <f>SUMIFS(Прогнозы!$Q$2:$Q$191,Прогнозы!$A$2:$A$191,$A5)</f>
        <v>107</v>
      </c>
      <c r="H5" s="2">
        <f>SUMIFS(Прогнозы!$R$2:$R$191,Прогнозы!$A$2:$A$191,$A5)</f>
        <v>200</v>
      </c>
      <c r="I5" s="6">
        <f t="shared" si="0"/>
        <v>0.28935185185185186</v>
      </c>
    </row>
    <row r="6" spans="1:9" x14ac:dyDescent="0.3">
      <c r="A6" s="2" t="s">
        <v>72</v>
      </c>
      <c r="B6" s="4">
        <f>SUMIFS(Прогнозы!$M$2:$M$191,Прогнозы!$A$2:$A$191,$A6)</f>
        <v>-58146</v>
      </c>
      <c r="C6" s="4">
        <f>SUMIFS(Прогнозы!$M$2:$M$191,Прогнозы!$A$2:$A$191,$A6,Прогнозы!$B$2:$B$191,1)</f>
        <v>-5152</v>
      </c>
      <c r="D6" s="2">
        <f>COUNTIFS(Прогнозы!$A$2:$A$191,$A6,Прогнозы!$M$2:$M$191,"&gt;0")</f>
        <v>2</v>
      </c>
      <c r="E6" s="2">
        <f>SUMIFS(Прогнозы!$O$2:$O$191,Прогнозы!$A$2:$A$191,$A6)</f>
        <v>375</v>
      </c>
      <c r="F6" s="2">
        <f>SUMIFS(Прогнозы!$P$2:$P$191,Прогнозы!$A$2:$A$191,$A6)</f>
        <v>71</v>
      </c>
      <c r="G6" s="2">
        <f>SUMIFS(Прогнозы!$Q$2:$Q$191,Прогнозы!$A$2:$A$191,$A6)</f>
        <v>126</v>
      </c>
      <c r="H6" s="2">
        <f>SUMIFS(Прогнозы!$R$2:$R$191,Прогнозы!$A$2:$A$191,$A6)</f>
        <v>178</v>
      </c>
      <c r="I6" s="6">
        <f t="shared" si="0"/>
        <v>0.18933333333333333</v>
      </c>
    </row>
    <row r="7" spans="1:9" x14ac:dyDescent="0.3">
      <c r="A7" s="2" t="s">
        <v>75</v>
      </c>
      <c r="B7" s="4">
        <f>SUMIFS(Прогнозы!$M$2:$M$191,Прогнозы!$A$2:$A$191,$A7)</f>
        <v>15676</v>
      </c>
      <c r="C7" s="4">
        <f>SUMIFS(Прогнозы!$M$2:$M$191,Прогнозы!$A$2:$A$191,$A7,Прогнозы!$B$2:$B$191,1)</f>
        <v>8600</v>
      </c>
      <c r="D7" s="2">
        <f>COUNTIFS(Прогнозы!$A$2:$A$191,$A7,Прогнозы!$M$2:$M$191,"&gt;0")</f>
        <v>6</v>
      </c>
      <c r="E7" s="2">
        <f>SUMIFS(Прогнозы!$O$2:$O$191,Прогнозы!$A$2:$A$191,$A7)</f>
        <v>262</v>
      </c>
      <c r="F7" s="2">
        <f>SUMIFS(Прогнозы!$P$2:$P$191,Прогнозы!$A$2:$A$191,$A7)</f>
        <v>78</v>
      </c>
      <c r="G7" s="2">
        <f>SUMIFS(Прогнозы!$Q$2:$Q$191,Прогнозы!$A$2:$A$191,$A7)</f>
        <v>61</v>
      </c>
      <c r="H7" s="2">
        <f>SUMIFS(Прогнозы!$R$2:$R$191,Прогнозы!$A$2:$A$191,$A7)</f>
        <v>123</v>
      </c>
      <c r="I7" s="6">
        <f t="shared" si="0"/>
        <v>0.29770992366412213</v>
      </c>
    </row>
    <row r="8" spans="1:9" x14ac:dyDescent="0.3">
      <c r="A8" s="2" t="s">
        <v>81</v>
      </c>
      <c r="B8" s="4">
        <f>SUMIFS(Прогнозы!$M$2:$M$191,Прогнозы!$A$2:$A$191,$A8)</f>
        <v>-15557</v>
      </c>
      <c r="C8" s="4">
        <f>SUMIFS(Прогнозы!$M$2:$M$191,Прогнозы!$A$2:$A$191,$A8,Прогнозы!$B$2:$B$191,1)</f>
        <v>-1008</v>
      </c>
      <c r="D8" s="2">
        <f>COUNTIFS(Прогнозы!$A$2:$A$191,$A8,Прогнозы!$M$2:$M$191,"&gt;0")</f>
        <v>1</v>
      </c>
      <c r="E8" s="2">
        <f>SUMIFS(Прогнозы!$O$2:$O$191,Прогнозы!$A$2:$A$191,$A8)</f>
        <v>325</v>
      </c>
      <c r="F8" s="2">
        <f>SUMIFS(Прогнозы!$P$2:$P$191,Прогнозы!$A$2:$A$191,$A8)</f>
        <v>79</v>
      </c>
      <c r="G8" s="2">
        <f>SUMIFS(Прогнозы!$Q$2:$Q$191,Прогнозы!$A$2:$A$191,$A8)</f>
        <v>79</v>
      </c>
      <c r="H8" s="2">
        <f>SUMIFS(Прогнозы!$R$2:$R$191,Прогнозы!$A$2:$A$191,$A8)</f>
        <v>167</v>
      </c>
      <c r="I8" s="6">
        <f t="shared" si="0"/>
        <v>0.24307692307692308</v>
      </c>
    </row>
    <row r="9" spans="1:9" x14ac:dyDescent="0.3">
      <c r="A9" s="2" t="s">
        <v>86</v>
      </c>
      <c r="B9" s="4">
        <f>SUMIFS(Прогнозы!$M$2:$M$191,Прогнозы!$A$2:$A$191,$A9)</f>
        <v>-11053</v>
      </c>
      <c r="C9" s="4">
        <f>SUMIFS(Прогнозы!$M$2:$M$191,Прогнозы!$A$2:$A$191,$A9,Прогнозы!$B$2:$B$191,1)</f>
        <v>-3248</v>
      </c>
      <c r="D9" s="2">
        <f>COUNTIFS(Прогнозы!$A$2:$A$191,$A9,Прогнозы!$M$2:$M$191,"&gt;0")</f>
        <v>2</v>
      </c>
      <c r="E9" s="2">
        <f>SUMIFS(Прогнозы!$O$2:$O$191,Прогнозы!$A$2:$A$191,$A9)</f>
        <v>274</v>
      </c>
      <c r="F9" s="2">
        <f>SUMIFS(Прогнозы!$P$2:$P$191,Прогнозы!$A$2:$A$191,$A9)</f>
        <v>68</v>
      </c>
      <c r="G9" s="2">
        <f>SUMIFS(Прогнозы!$Q$2:$Q$191,Прогнозы!$A$2:$A$191,$A9)</f>
        <v>68</v>
      </c>
      <c r="H9" s="2">
        <f>SUMIFS(Прогнозы!$R$2:$R$191,Прогнозы!$A$2:$A$191,$A9)</f>
        <v>138</v>
      </c>
      <c r="I9" s="6">
        <f t="shared" si="0"/>
        <v>0.24817518248175183</v>
      </c>
    </row>
    <row r="10" spans="1:9" x14ac:dyDescent="0.3">
      <c r="A10" s="2" t="s">
        <v>88</v>
      </c>
      <c r="B10" s="4">
        <f>SUMIFS(Прогнозы!$M$2:$M$191,Прогнозы!$A$2:$A$191,$A10)</f>
        <v>170</v>
      </c>
      <c r="C10" s="4">
        <f>SUMIFS(Прогнозы!$M$2:$M$191,Прогнозы!$A$2:$A$191,$A10,Прогнозы!$B$2:$B$191,1)</f>
        <v>1139</v>
      </c>
      <c r="D10" s="2">
        <f>COUNTIFS(Прогнозы!$A$2:$A$191,$A10,Прогнозы!$M$2:$M$191,"&gt;0")</f>
        <v>3</v>
      </c>
      <c r="E10" s="2">
        <f>SUMIFS(Прогнозы!$O$2:$O$191,Прогнозы!$A$2:$A$191,$A10)</f>
        <v>311</v>
      </c>
      <c r="F10" s="2">
        <f>SUMIFS(Прогнозы!$P$2:$P$191,Прогнозы!$A$2:$A$191,$A10)</f>
        <v>84</v>
      </c>
      <c r="G10" s="2">
        <f>SUMIFS(Прогнозы!$Q$2:$Q$191,Прогнозы!$A$2:$A$191,$A10)</f>
        <v>73</v>
      </c>
      <c r="H10" s="2">
        <f>SUMIFS(Прогнозы!$R$2:$R$191,Прогнозы!$A$2:$A$191,$A10)</f>
        <v>154</v>
      </c>
      <c r="I10" s="6">
        <f t="shared" si="0"/>
        <v>0.27009646302250806</v>
      </c>
    </row>
    <row r="11" spans="1:9" x14ac:dyDescent="0.3">
      <c r="A11" s="2" t="s">
        <v>90</v>
      </c>
      <c r="B11" s="4">
        <f>SUMIFS(Прогнозы!$M$2:$M$191,Прогнозы!$A$2:$A$191,$A11)</f>
        <v>-18738</v>
      </c>
      <c r="C11" s="4">
        <f>SUMIFS(Прогнозы!$M$2:$M$191,Прогнозы!$A$2:$A$191,$A11,Прогнозы!$B$2:$B$191,1)</f>
        <v>-3547</v>
      </c>
      <c r="D11" s="2">
        <f>COUNTIFS(Прогнозы!$A$2:$A$191,$A11,Прогнозы!$M$2:$M$191,"&gt;0")</f>
        <v>3</v>
      </c>
      <c r="E11" s="2">
        <f>SUMIFS(Прогнозы!$O$2:$O$191,Прогнозы!$A$2:$A$191,$A11)</f>
        <v>300</v>
      </c>
      <c r="F11" s="2">
        <f>SUMIFS(Прогнозы!$P$2:$P$191,Прогнозы!$A$2:$A$191,$A11)</f>
        <v>71</v>
      </c>
      <c r="G11" s="2">
        <f>SUMIFS(Прогнозы!$Q$2:$Q$191,Прогнозы!$A$2:$A$191,$A11)</f>
        <v>79</v>
      </c>
      <c r="H11" s="2">
        <f>SUMIFS(Прогнозы!$R$2:$R$191,Прогнозы!$A$2:$A$191,$A11)</f>
        <v>150</v>
      </c>
      <c r="I11" s="6">
        <f t="shared" si="0"/>
        <v>0.23666666666666666</v>
      </c>
    </row>
    <row r="12" spans="1:9" x14ac:dyDescent="0.3">
      <c r="A12" s="2" t="s">
        <v>94</v>
      </c>
      <c r="B12" s="4">
        <f>SUMIFS(Прогнозы!$M$2:$M$191,Прогнозы!$A$2:$A$191,$A12)</f>
        <v>-5450</v>
      </c>
      <c r="C12" s="4">
        <f>SUMIFS(Прогнозы!$M$2:$M$191,Прогнозы!$A$2:$A$191,$A12,Прогнозы!$B$2:$B$191,1)</f>
        <v>-618</v>
      </c>
      <c r="D12" s="2">
        <f>COUNTIFS(Прогнозы!$A$2:$A$191,$A12,Прогнозы!$M$2:$M$191,"&gt;0")</f>
        <v>3</v>
      </c>
      <c r="E12" s="2">
        <f>SUMIFS(Прогнозы!$O$2:$O$191,Прогнозы!$A$2:$A$191,$A12)</f>
        <v>211</v>
      </c>
      <c r="F12" s="2">
        <f>SUMIFS(Прогнозы!$P$2:$P$191,Прогнозы!$A$2:$A$191,$A12)</f>
        <v>54</v>
      </c>
      <c r="G12" s="2">
        <f>SUMIFS(Прогнозы!$Q$2:$Q$191,Прогнозы!$A$2:$A$191,$A12)</f>
        <v>41</v>
      </c>
      <c r="H12" s="2">
        <f>SUMIFS(Прогнозы!$R$2:$R$191,Прогнозы!$A$2:$A$191,$A12)</f>
        <v>116</v>
      </c>
      <c r="I12" s="6">
        <f t="shared" si="0"/>
        <v>0.25592417061611372</v>
      </c>
    </row>
    <row r="13" spans="1:9" x14ac:dyDescent="0.3">
      <c r="A13" s="2" t="s">
        <v>97</v>
      </c>
      <c r="B13" s="4">
        <f>SUMIFS(Прогнозы!$M$2:$M$191,Прогнозы!$A$2:$A$191,$A13)</f>
        <v>2401</v>
      </c>
      <c r="C13" s="4">
        <f>SUMIFS(Прогнозы!$M$2:$M$191,Прогнозы!$A$2:$A$191,$A13,Прогнозы!$B$2:$B$191,1)</f>
        <v>6066</v>
      </c>
      <c r="D13" s="2">
        <f>COUNTIFS(Прогнозы!$A$2:$A$191,$A13,Прогнозы!$M$2:$M$191,"&gt;0")</f>
        <v>4</v>
      </c>
      <c r="E13" s="2">
        <f>SUMIFS(Прогнозы!$O$2:$O$191,Прогнозы!$A$2:$A$191,$A13)</f>
        <v>165</v>
      </c>
      <c r="F13" s="2">
        <f>SUMIFS(Прогнозы!$P$2:$P$191,Прогнозы!$A$2:$A$191,$A13)</f>
        <v>45</v>
      </c>
      <c r="G13" s="2">
        <f>SUMIFS(Прогнозы!$Q$2:$Q$191,Прогнозы!$A$2:$A$191,$A13)</f>
        <v>20</v>
      </c>
      <c r="H13" s="2">
        <f>SUMIFS(Прогнозы!$R$2:$R$191,Прогнозы!$A$2:$A$191,$A13)</f>
        <v>100</v>
      </c>
      <c r="I13" s="6">
        <f t="shared" si="0"/>
        <v>0.27272727272727271</v>
      </c>
    </row>
    <row r="14" spans="1:9" x14ac:dyDescent="0.3">
      <c r="A14" s="2" t="s">
        <v>100</v>
      </c>
      <c r="B14" s="4">
        <f>SUMIFS(Прогнозы!$M$2:$M$191,Прогнозы!$A$2:$A$191,$A14)</f>
        <v>3612</v>
      </c>
      <c r="C14" s="4">
        <f>SUMIFS(Прогнозы!$M$2:$M$191,Прогнозы!$A$2:$A$191,$A14,Прогнозы!$B$2:$B$191,1)</f>
        <v>-3248</v>
      </c>
      <c r="D14" s="2">
        <f>COUNTIFS(Прогнозы!$A$2:$A$191,$A14,Прогнозы!$M$2:$M$191,"&gt;0")</f>
        <v>5</v>
      </c>
      <c r="E14" s="2">
        <f>SUMIFS(Прогнозы!$O$2:$O$191,Прогнозы!$A$2:$A$191,$A14)</f>
        <v>217</v>
      </c>
      <c r="F14" s="2">
        <f>SUMIFS(Прогнозы!$P$2:$P$191,Прогнозы!$A$2:$A$191,$A14)</f>
        <v>64</v>
      </c>
      <c r="G14" s="2">
        <f>SUMIFS(Прогнозы!$Q$2:$Q$191,Прогнозы!$A$2:$A$191,$A14)</f>
        <v>72</v>
      </c>
      <c r="H14" s="2">
        <f>SUMIFS(Прогнозы!$R$2:$R$191,Прогнозы!$A$2:$A$191,$A14)</f>
        <v>81</v>
      </c>
      <c r="I14" s="6">
        <f t="shared" si="0"/>
        <v>0.29493087557603687</v>
      </c>
    </row>
    <row r="15" spans="1:9" x14ac:dyDescent="0.3">
      <c r="A15" s="2" t="s">
        <v>104</v>
      </c>
      <c r="B15" s="4">
        <f>SUMIFS(Прогнозы!$M$2:$M$191,Прогнозы!$A$2:$A$191,$A15)</f>
        <v>14494</v>
      </c>
      <c r="C15" s="4">
        <f>SUMIFS(Прогнозы!$M$2:$M$191,Прогнозы!$A$2:$A$191,$A15,Прогнозы!$B$2:$B$191,1)</f>
        <v>3677</v>
      </c>
      <c r="D15" s="2">
        <f>COUNTIFS(Прогнозы!$A$2:$A$191,$A15,Прогнозы!$M$2:$M$191,"&gt;0")</f>
        <v>6</v>
      </c>
      <c r="E15" s="2">
        <f>SUMIFS(Прогнозы!$O$2:$O$191,Прогнозы!$A$2:$A$191,$A15)</f>
        <v>128</v>
      </c>
      <c r="F15" s="2">
        <f>SUMIFS(Прогнозы!$P$2:$P$191,Прогнозы!$A$2:$A$191,$A15)</f>
        <v>42</v>
      </c>
      <c r="G15" s="2">
        <f>SUMIFS(Прогнозы!$Q$2:$Q$191,Прогнозы!$A$2:$A$191,$A15)</f>
        <v>25</v>
      </c>
      <c r="H15" s="2">
        <f>SUMIFS(Прогнозы!$R$2:$R$191,Прогнозы!$A$2:$A$191,$A15)</f>
        <v>61</v>
      </c>
      <c r="I15" s="6">
        <f t="shared" si="0"/>
        <v>0.328125</v>
      </c>
    </row>
    <row r="16" spans="1:9" x14ac:dyDescent="0.3">
      <c r="A16" s="2" t="s">
        <v>107</v>
      </c>
      <c r="B16" s="4">
        <f>SUMIFS(Прогнозы!$M$2:$M$191,Прогнозы!$A$2:$A$191,$A16)</f>
        <v>-1921</v>
      </c>
      <c r="C16" s="4">
        <f>SUMIFS(Прогнозы!$M$2:$M$191,Прогнозы!$A$2:$A$191,$A16,Прогнозы!$B$2:$B$191,1)</f>
        <v>1756</v>
      </c>
      <c r="D16" s="2">
        <f>COUNTIFS(Прогнозы!$A$2:$A$191,$A16,Прогнозы!$M$2:$M$191,"&gt;0")</f>
        <v>6</v>
      </c>
      <c r="E16" s="2">
        <f>SUMIFS(Прогнозы!$O$2:$O$191,Прогнозы!$A$2:$A$191,$A16)</f>
        <v>421</v>
      </c>
      <c r="F16" s="2">
        <f>SUMIFS(Прогнозы!$P$2:$P$191,Прогнозы!$A$2:$A$191,$A16)</f>
        <v>117</v>
      </c>
      <c r="G16" s="2">
        <f>SUMIFS(Прогнозы!$Q$2:$Q$191,Прогнозы!$A$2:$A$191,$A16)</f>
        <v>85</v>
      </c>
      <c r="H16" s="2">
        <f>SUMIFS(Прогнозы!$R$2:$R$191,Прогнозы!$A$2:$A$191,$A16)</f>
        <v>219</v>
      </c>
      <c r="I16" s="6">
        <f t="shared" si="0"/>
        <v>0.27790973871733965</v>
      </c>
    </row>
    <row r="17" spans="1:9" x14ac:dyDescent="0.3">
      <c r="A17" s="2" t="s">
        <v>109</v>
      </c>
      <c r="B17" s="4">
        <f>SUMIFS(Прогнозы!$M$2:$M$191,Прогнозы!$A$2:$A$191,$A17)</f>
        <v>4171</v>
      </c>
      <c r="C17" s="4">
        <f>SUMIFS(Прогнозы!$M$2:$M$191,Прогнозы!$A$2:$A$191,$A17,Прогнозы!$B$2:$B$191,1)</f>
        <v>2058</v>
      </c>
      <c r="D17" s="2">
        <f>COUNTIFS(Прогнозы!$A$2:$A$191,$A17,Прогнозы!$M$2:$M$191,"&gt;0")</f>
        <v>6</v>
      </c>
      <c r="E17" s="2">
        <f>SUMIFS(Прогнозы!$O$2:$O$191,Прогнозы!$A$2:$A$191,$A17)</f>
        <v>212</v>
      </c>
      <c r="F17" s="2">
        <f>SUMIFS(Прогнозы!$P$2:$P$191,Прогнозы!$A$2:$A$191,$A17)</f>
        <v>61</v>
      </c>
      <c r="G17" s="2">
        <f>SUMIFS(Прогнозы!$Q$2:$Q$191,Прогнозы!$A$2:$A$191,$A17)</f>
        <v>47</v>
      </c>
      <c r="H17" s="2">
        <f>SUMIFS(Прогнозы!$R$2:$R$191,Прогнозы!$A$2:$A$191,$A17)</f>
        <v>104</v>
      </c>
      <c r="I17" s="6">
        <f t="shared" si="0"/>
        <v>0.28773584905660377</v>
      </c>
    </row>
    <row r="18" spans="1:9" x14ac:dyDescent="0.3">
      <c r="A18" s="2" t="s">
        <v>110</v>
      </c>
      <c r="B18" s="4">
        <f>SUMIFS(Прогнозы!$M$2:$M$191,Прогнозы!$A$2:$A$191,$A18)</f>
        <v>-6442</v>
      </c>
      <c r="C18" s="4">
        <f>SUMIFS(Прогнозы!$M$2:$M$191,Прогнозы!$A$2:$A$191,$A18,Прогнозы!$B$2:$B$191,1)</f>
        <v>-2726</v>
      </c>
      <c r="D18" s="2">
        <f>COUNTIFS(Прогнозы!$A$2:$A$191,$A18,Прогнозы!$M$2:$M$191,"&gt;0")</f>
        <v>3</v>
      </c>
      <c r="E18" s="2">
        <f>SUMIFS(Прогнозы!$O$2:$O$191,Прогнозы!$A$2:$A$191,$A18)</f>
        <v>158</v>
      </c>
      <c r="F18" s="2">
        <f>SUMIFS(Прогнозы!$P$2:$P$191,Прогнозы!$A$2:$A$191,$A18)</f>
        <v>39</v>
      </c>
      <c r="G18" s="2">
        <f>SUMIFS(Прогнозы!$Q$2:$Q$191,Прогнозы!$A$2:$A$191,$A18)</f>
        <v>40</v>
      </c>
      <c r="H18" s="2">
        <f>SUMIFS(Прогнозы!$R$2:$R$191,Прогнозы!$A$2:$A$191,$A18)</f>
        <v>79</v>
      </c>
      <c r="I18" s="6">
        <f t="shared" si="0"/>
        <v>0.24683544303797469</v>
      </c>
    </row>
    <row r="19" spans="1:9" x14ac:dyDescent="0.3">
      <c r="A19" s="2" t="s">
        <v>114</v>
      </c>
      <c r="B19" s="4">
        <f>SUMIFS(Прогнозы!$M$2:$M$191,Прогнозы!$A$2:$A$191,$A19)</f>
        <v>18260</v>
      </c>
      <c r="C19" s="4">
        <f>SUMIFS(Прогнозы!$M$2:$M$191,Прогнозы!$A$2:$A$191,$A19,Прогнозы!$B$2:$B$191,1)</f>
        <v>143</v>
      </c>
      <c r="D19" s="2">
        <f>COUNTIFS(Прогнозы!$A$2:$A$191,$A19,Прогнозы!$M$2:$M$191,"&gt;0")</f>
        <v>9</v>
      </c>
      <c r="E19" s="2">
        <f>SUMIFS(Прогнозы!$O$2:$O$191,Прогнозы!$A$2:$A$191,$A19)</f>
        <v>169</v>
      </c>
      <c r="F19" s="2">
        <f>SUMIFS(Прогнозы!$P$2:$P$191,Прогнозы!$A$2:$A$191,$A19)</f>
        <v>55</v>
      </c>
      <c r="G19" s="2">
        <f>SUMIFS(Прогнозы!$Q$2:$Q$191,Прогнозы!$A$2:$A$191,$A19)</f>
        <v>27</v>
      </c>
      <c r="H19" s="2">
        <f>SUMIFS(Прогнозы!$R$2:$R$191,Прогнозы!$A$2:$A$191,$A19)</f>
        <v>87</v>
      </c>
      <c r="I19" s="6">
        <f t="shared" si="0"/>
        <v>0.32544378698224852</v>
      </c>
    </row>
    <row r="20" spans="1:9" x14ac:dyDescent="0.3">
      <c r="A20" s="2" t="s">
        <v>115</v>
      </c>
      <c r="B20" s="4">
        <f>SUMIFS(Прогнозы!$M$2:$M$191,Прогнозы!$A$2:$A$191,$A20)</f>
        <v>-17122</v>
      </c>
      <c r="C20" s="4">
        <f>SUMIFS(Прогнозы!$M$2:$M$191,Прогнозы!$A$2:$A$191,$A20,Прогнозы!$B$2:$B$191,1)</f>
        <v>5883</v>
      </c>
      <c r="D20" s="2">
        <f>COUNTIFS(Прогнозы!$A$2:$A$191,$A20,Прогнозы!$M$2:$M$191,"&gt;0")</f>
        <v>4</v>
      </c>
      <c r="E20" s="2">
        <f>SUMIFS(Прогнозы!$O$2:$O$191,Прогнозы!$A$2:$A$191,$A20)</f>
        <v>217</v>
      </c>
      <c r="F20" s="2">
        <f>SUMIFS(Прогнозы!$P$2:$P$191,Прогнозы!$A$2:$A$191,$A20)</f>
        <v>49</v>
      </c>
      <c r="G20" s="2">
        <f>SUMIFS(Прогнозы!$Q$2:$Q$191,Прогнозы!$A$2:$A$191,$A20)</f>
        <v>71</v>
      </c>
      <c r="H20" s="2">
        <f>SUMIFS(Прогнозы!$R$2:$R$191,Прогнозы!$A$2:$A$191,$A20)</f>
        <v>97</v>
      </c>
      <c r="I20" s="6">
        <f t="shared" si="0"/>
        <v>0.22580645161290322</v>
      </c>
    </row>
    <row r="21" spans="1:9" x14ac:dyDescent="0.3">
      <c r="A21" s="7" t="s">
        <v>123</v>
      </c>
      <c r="B21" s="8">
        <f t="shared" ref="B21:H21" si="1">SUM(B2:B20)</f>
        <v>-111882</v>
      </c>
      <c r="C21" s="8">
        <f t="shared" si="1"/>
        <v>4248</v>
      </c>
      <c r="D21" s="7">
        <f t="shared" si="1"/>
        <v>80</v>
      </c>
      <c r="E21" s="7">
        <f t="shared" si="1"/>
        <v>4874</v>
      </c>
      <c r="F21" s="7">
        <f t="shared" si="1"/>
        <v>1269</v>
      </c>
      <c r="G21" s="7">
        <f t="shared" si="1"/>
        <v>1222</v>
      </c>
      <c r="H21" s="7">
        <f t="shared" si="1"/>
        <v>2383</v>
      </c>
      <c r="I21" s="10">
        <f t="shared" si="0"/>
        <v>0.26036109971276161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Прогнозы</vt:lpstr>
      <vt:lpstr>Итоги по рангам</vt:lpstr>
      <vt:lpstr>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2026-07-31T10:58:25Z</dcterms:created>
  <dcterms:modified xsi:type="dcterms:W3CDTF">2026-07-31T10:58:57Z</dcterms:modified>
</cp:coreProperties>
</file>