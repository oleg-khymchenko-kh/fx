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eg\Documents\Oleg\fx\reports\"/>
    </mc:Choice>
  </mc:AlternateContent>
  <xr:revisionPtr revIDLastSave="0" documentId="13_ncr:1_{D26A52F4-E9E0-4EE9-9531-62F52C53A8E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2026" sheetId="1" r:id="rId1"/>
    <sheet name="5 yea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67" i="2" l="1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I28" i="2"/>
  <c r="J28" i="2" s="1"/>
  <c r="B28" i="2"/>
  <c r="I27" i="2"/>
  <c r="J27" i="2" s="1"/>
  <c r="B27" i="2"/>
  <c r="B26" i="2"/>
  <c r="I25" i="2"/>
  <c r="J25" i="2" s="1"/>
  <c r="B25" i="2"/>
  <c r="I24" i="2"/>
  <c r="J24" i="2" s="1"/>
  <c r="B24" i="2"/>
  <c r="I23" i="2"/>
  <c r="J23" i="2" s="1"/>
  <c r="B23" i="2"/>
  <c r="I22" i="2"/>
  <c r="J22" i="2" s="1"/>
  <c r="B22" i="2"/>
  <c r="B21" i="2"/>
  <c r="B20" i="2"/>
  <c r="B19" i="2"/>
  <c r="B18" i="2"/>
  <c r="B17" i="2"/>
  <c r="B16" i="2"/>
  <c r="B15" i="2"/>
  <c r="B14" i="2"/>
  <c r="B13" i="2"/>
  <c r="I12" i="2"/>
  <c r="B12" i="2"/>
  <c r="B11" i="2"/>
  <c r="B10" i="2"/>
  <c r="I9" i="2"/>
  <c r="B9" i="2"/>
  <c r="B8" i="2"/>
  <c r="B7" i="2"/>
  <c r="I6" i="2"/>
  <c r="B6" i="2"/>
  <c r="B5" i="2"/>
  <c r="B4" i="2"/>
  <c r="B3" i="2"/>
  <c r="B2" i="2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I6" i="1"/>
  <c r="B6" i="1"/>
  <c r="B5" i="1"/>
  <c r="B4" i="1"/>
  <c r="B3" i="1"/>
  <c r="B2" i="1"/>
  <c r="I8" i="2" l="1"/>
  <c r="I14" i="2"/>
  <c r="I13" i="2"/>
  <c r="I26" i="2"/>
  <c r="J26" i="2" s="1"/>
  <c r="I21" i="2"/>
  <c r="J21" i="2" s="1"/>
  <c r="I19" i="2"/>
  <c r="J19" i="2" s="1"/>
  <c r="I20" i="2"/>
  <c r="J20" i="2" s="1"/>
  <c r="I11" i="2"/>
  <c r="I10" i="2"/>
  <c r="I14" i="1"/>
  <c r="I13" i="1"/>
  <c r="I8" i="1"/>
  <c r="I24" i="1"/>
  <c r="J24" i="1" s="1"/>
  <c r="I9" i="1"/>
  <c r="I25" i="1"/>
  <c r="J25" i="1" s="1"/>
  <c r="I22" i="1"/>
  <c r="J22" i="1" s="1"/>
  <c r="I20" i="1"/>
  <c r="J20" i="1" s="1"/>
  <c r="I11" i="1"/>
  <c r="I26" i="1"/>
  <c r="J26" i="1" s="1"/>
  <c r="I19" i="1"/>
  <c r="J19" i="1" s="1"/>
  <c r="I10" i="1"/>
  <c r="I28" i="1"/>
  <c r="J28" i="1" s="1"/>
  <c r="I27" i="1"/>
  <c r="J27" i="1" s="1"/>
  <c r="I23" i="1"/>
  <c r="J23" i="1" s="1"/>
  <c r="I21" i="1"/>
  <c r="J21" i="1" s="1"/>
  <c r="I12" i="1"/>
</calcChain>
</file>

<file path=xl/sharedStrings.xml><?xml version="1.0" encoding="utf-8"?>
<sst xmlns="http://schemas.openxmlformats.org/spreadsheetml/2006/main" count="2014" uniqueCount="39">
  <si>
    <t>Rank</t>
  </si>
  <si>
    <t>Pullback %</t>
  </si>
  <si>
    <t>Big move (pips)</t>
  </si>
  <si>
    <t>Pullback move (pips)</t>
  </si>
  <si>
    <t>Big move direction</t>
  </si>
  <si>
    <t>End time (UTC)</t>
  </si>
  <si>
    <t>GBPUSD ZigZag pullbacks, 2026</t>
  </si>
  <si>
    <t>Up</t>
  </si>
  <si>
    <t>A pullback is a move smaller than the move right before it.</t>
  </si>
  <si>
    <t>Pullback % = pullback move / big move. Rows sorted from smallest to largest %.</t>
  </si>
  <si>
    <t>Stats</t>
  </si>
  <si>
    <t>Down</t>
  </si>
  <si>
    <t>Pullbacks</t>
  </si>
  <si>
    <t>Move pairs in period</t>
  </si>
  <si>
    <t>Share of pairs that are pullbacks</t>
  </si>
  <si>
    <t>Min</t>
  </si>
  <si>
    <t>Median</t>
  </si>
  <si>
    <t>Average</t>
  </si>
  <si>
    <t>Max</t>
  </si>
  <si>
    <t>Shallow, below 50%</t>
  </si>
  <si>
    <t>Deep, 80% and more</t>
  </si>
  <si>
    <t>Distribution by 10% steps</t>
  </si>
  <si>
    <t>Bucket</t>
  </si>
  <si>
    <t>Share</t>
  </si>
  <si>
    <t>0-9%</t>
  </si>
  <si>
    <t>10-19%</t>
  </si>
  <si>
    <t>20-29%</t>
  </si>
  <si>
    <t>30-39%</t>
  </si>
  <si>
    <t>40-49%</t>
  </si>
  <si>
    <t>50-59%</t>
  </si>
  <si>
    <t>60-69%</t>
  </si>
  <si>
    <t>70-79%</t>
  </si>
  <si>
    <t>80-89%</t>
  </si>
  <si>
    <t>90-99%</t>
  </si>
  <si>
    <t>Source: FXViewer indicator GBP1 (ZigZag on GBPUSD, Limit1=50, Limit2=20, delay=90 min),</t>
  </si>
  <si>
    <t>file data/GBP1/zigzag.json. Period by pullback end time: 2025-12-31 .. 2026-09-02 (UTC).</t>
  </si>
  <si>
    <t>Note: the ZigZag rule itself creates top plus pullback pairs, so pullbacks are partly built in.</t>
  </si>
  <si>
    <t>GBPUSD ZigZag pullbacks, 5 years</t>
  </si>
  <si>
    <t>file data/GBP1/zigzag.json. Period by pullback end time: 2021-09-03 .. 2026-09-02 (UTC).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</si>
</sst>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7" formatCode="yyyy\-mm\-dd\ hh:mm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  <font>
      <b/>
      <sz val="11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7" fontId="2" fillId="0" borderId="0" xfId="0" applyNumberFormat="1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/>
              <a:t>Pullback depth, sorted, 2026 (n=176)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6969010416666667E-2"/>
          <c:y val="3.8599814814814816E-2"/>
          <c:w val="0.89296874999999998"/>
          <c:h val="0.77140740740740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'2026'!$B$1</c:f>
              <c:strCache>
                <c:ptCount val="1"/>
                <c:pt idx="0">
                  <c:v>Pullback %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val>
            <c:numRef>
              <c:f>'2026'!$B$2:$B$177</c:f>
              <c:numCache>
                <c:formatCode>0.0%</c:formatCode>
                <c:ptCount val="176"/>
                <c:pt idx="0">
                  <c:v>0.13847251962883655</c:v>
                </c:pt>
                <c:pt idx="1">
                  <c:v>0.18375815056312983</c:v>
                </c:pt>
                <c:pt idx="2">
                  <c:v>0.1876190476190476</c:v>
                </c:pt>
                <c:pt idx="3">
                  <c:v>0.20036764705882357</c:v>
                </c:pt>
                <c:pt idx="4">
                  <c:v>0.20474308300395255</c:v>
                </c:pt>
                <c:pt idx="5">
                  <c:v>0.2181384248210024</c:v>
                </c:pt>
                <c:pt idx="6">
                  <c:v>0.29515418502202645</c:v>
                </c:pt>
                <c:pt idx="7">
                  <c:v>0.29625550660792949</c:v>
                </c:pt>
                <c:pt idx="8">
                  <c:v>0.31191037735849059</c:v>
                </c:pt>
                <c:pt idx="9">
                  <c:v>0.31867057673509291</c:v>
                </c:pt>
                <c:pt idx="10">
                  <c:v>0.33686300463269359</c:v>
                </c:pt>
                <c:pt idx="11">
                  <c:v>0.34275092936802976</c:v>
                </c:pt>
                <c:pt idx="12">
                  <c:v>0.34693877551020408</c:v>
                </c:pt>
                <c:pt idx="13">
                  <c:v>0.35069885641677256</c:v>
                </c:pt>
                <c:pt idx="14">
                  <c:v>0.35299003322259137</c:v>
                </c:pt>
                <c:pt idx="15">
                  <c:v>0.35507246376811596</c:v>
                </c:pt>
                <c:pt idx="16">
                  <c:v>0.35629921259842523</c:v>
                </c:pt>
                <c:pt idx="17">
                  <c:v>0.35984207557811615</c:v>
                </c:pt>
                <c:pt idx="18">
                  <c:v>0.36394366197183098</c:v>
                </c:pt>
                <c:pt idx="19">
                  <c:v>0.36756756756756753</c:v>
                </c:pt>
                <c:pt idx="20">
                  <c:v>0.36842105263157898</c:v>
                </c:pt>
                <c:pt idx="21">
                  <c:v>0.37397420867526376</c:v>
                </c:pt>
                <c:pt idx="22">
                  <c:v>0.38193624557260919</c:v>
                </c:pt>
                <c:pt idx="23">
                  <c:v>0.38476658476658476</c:v>
                </c:pt>
                <c:pt idx="24">
                  <c:v>0.39303482587064675</c:v>
                </c:pt>
                <c:pt idx="25">
                  <c:v>0.39812889812889807</c:v>
                </c:pt>
                <c:pt idx="26">
                  <c:v>0.40533778148457045</c:v>
                </c:pt>
                <c:pt idx="27">
                  <c:v>0.40837696335078533</c:v>
                </c:pt>
                <c:pt idx="28">
                  <c:v>0.41390306122448978</c:v>
                </c:pt>
                <c:pt idx="29">
                  <c:v>0.4229368932038835</c:v>
                </c:pt>
                <c:pt idx="30">
                  <c:v>0.42812982998454402</c:v>
                </c:pt>
                <c:pt idx="31">
                  <c:v>0.43160377358490565</c:v>
                </c:pt>
                <c:pt idx="32">
                  <c:v>0.44519230769230766</c:v>
                </c:pt>
                <c:pt idx="33">
                  <c:v>0.45306122448979586</c:v>
                </c:pt>
                <c:pt idx="34">
                  <c:v>0.45673505798394298</c:v>
                </c:pt>
                <c:pt idx="35">
                  <c:v>0.45732130464954895</c:v>
                </c:pt>
                <c:pt idx="36">
                  <c:v>0.45871559633027525</c:v>
                </c:pt>
                <c:pt idx="37">
                  <c:v>0.46031746031746035</c:v>
                </c:pt>
                <c:pt idx="38">
                  <c:v>0.46139705882352944</c:v>
                </c:pt>
                <c:pt idx="39">
                  <c:v>0.46567717996289426</c:v>
                </c:pt>
                <c:pt idx="40">
                  <c:v>0.46995029371893354</c:v>
                </c:pt>
                <c:pt idx="41">
                  <c:v>0.47503782148260215</c:v>
                </c:pt>
                <c:pt idx="42">
                  <c:v>0.47803163444639718</c:v>
                </c:pt>
                <c:pt idx="43">
                  <c:v>0.48107569721115534</c:v>
                </c:pt>
                <c:pt idx="44">
                  <c:v>0.49061032863849763</c:v>
                </c:pt>
                <c:pt idx="45">
                  <c:v>0.49105367793240556</c:v>
                </c:pt>
                <c:pt idx="46">
                  <c:v>0.49180327868852458</c:v>
                </c:pt>
                <c:pt idx="47">
                  <c:v>0.49323715058611362</c:v>
                </c:pt>
                <c:pt idx="48">
                  <c:v>0.49341142020497808</c:v>
                </c:pt>
                <c:pt idx="49">
                  <c:v>0.49556650246305417</c:v>
                </c:pt>
                <c:pt idx="50">
                  <c:v>0.50099800399201599</c:v>
                </c:pt>
                <c:pt idx="51">
                  <c:v>0.50659630606860162</c:v>
                </c:pt>
                <c:pt idx="52">
                  <c:v>0.50740740740740742</c:v>
                </c:pt>
                <c:pt idx="53">
                  <c:v>0.50959232613908867</c:v>
                </c:pt>
                <c:pt idx="54">
                  <c:v>0.51226993865030668</c:v>
                </c:pt>
                <c:pt idx="55">
                  <c:v>0.51277683134582619</c:v>
                </c:pt>
                <c:pt idx="56">
                  <c:v>0.51423487544483981</c:v>
                </c:pt>
                <c:pt idx="57">
                  <c:v>0.52173913043478259</c:v>
                </c:pt>
                <c:pt idx="58">
                  <c:v>0.53457172342621251</c:v>
                </c:pt>
                <c:pt idx="59">
                  <c:v>0.53810975609756095</c:v>
                </c:pt>
                <c:pt idx="60">
                  <c:v>0.53981106612685559</c:v>
                </c:pt>
                <c:pt idx="61">
                  <c:v>0.54022988505747127</c:v>
                </c:pt>
                <c:pt idx="62">
                  <c:v>0.5415986949429038</c:v>
                </c:pt>
                <c:pt idx="63">
                  <c:v>0.54519505233111321</c:v>
                </c:pt>
                <c:pt idx="64">
                  <c:v>0.56185155626496419</c:v>
                </c:pt>
                <c:pt idx="65">
                  <c:v>0.5644699140401146</c:v>
                </c:pt>
                <c:pt idx="66">
                  <c:v>0.56463195691202872</c:v>
                </c:pt>
                <c:pt idx="67">
                  <c:v>0.56934931506849318</c:v>
                </c:pt>
                <c:pt idx="68">
                  <c:v>0.57142857142857151</c:v>
                </c:pt>
                <c:pt idx="69">
                  <c:v>0.57205882352941173</c:v>
                </c:pt>
                <c:pt idx="70">
                  <c:v>0.57433628318584073</c:v>
                </c:pt>
                <c:pt idx="71">
                  <c:v>0.57534246575342463</c:v>
                </c:pt>
                <c:pt idx="72">
                  <c:v>0.58210947930574097</c:v>
                </c:pt>
                <c:pt idx="73">
                  <c:v>0.58909444985394355</c:v>
                </c:pt>
                <c:pt idx="74">
                  <c:v>0.59466666666666668</c:v>
                </c:pt>
                <c:pt idx="75">
                  <c:v>0.59788359788359779</c:v>
                </c:pt>
                <c:pt idx="76">
                  <c:v>0.60658307210031359</c:v>
                </c:pt>
                <c:pt idx="77">
                  <c:v>0.60767790262172294</c:v>
                </c:pt>
                <c:pt idx="78">
                  <c:v>0.61647361647361643</c:v>
                </c:pt>
                <c:pt idx="79">
                  <c:v>0.61754385964912284</c:v>
                </c:pt>
                <c:pt idx="80">
                  <c:v>0.6183035714285714</c:v>
                </c:pt>
                <c:pt idx="81">
                  <c:v>0.62181818181818183</c:v>
                </c:pt>
                <c:pt idx="82">
                  <c:v>0.6271929824561403</c:v>
                </c:pt>
                <c:pt idx="83">
                  <c:v>0.62797927461139902</c:v>
                </c:pt>
                <c:pt idx="84">
                  <c:v>0.63033707865168542</c:v>
                </c:pt>
                <c:pt idx="85">
                  <c:v>0.63046757164404221</c:v>
                </c:pt>
                <c:pt idx="86">
                  <c:v>0.63727678571428581</c:v>
                </c:pt>
                <c:pt idx="87">
                  <c:v>0.6395089285714286</c:v>
                </c:pt>
                <c:pt idx="88">
                  <c:v>0.6455542021924483</c:v>
                </c:pt>
                <c:pt idx="89">
                  <c:v>0.65625</c:v>
                </c:pt>
                <c:pt idx="90">
                  <c:v>0.65909090909090906</c:v>
                </c:pt>
                <c:pt idx="91">
                  <c:v>0.66203059805285114</c:v>
                </c:pt>
                <c:pt idx="92">
                  <c:v>0.66802168021680219</c:v>
                </c:pt>
                <c:pt idx="93">
                  <c:v>0.67023172905525852</c:v>
                </c:pt>
                <c:pt idx="94">
                  <c:v>0.67185628742514969</c:v>
                </c:pt>
                <c:pt idx="95">
                  <c:v>0.67380136986301375</c:v>
                </c:pt>
                <c:pt idx="96">
                  <c:v>0.6752232142857143</c:v>
                </c:pt>
                <c:pt idx="97">
                  <c:v>0.67732962447844225</c:v>
                </c:pt>
                <c:pt idx="98">
                  <c:v>0.67853107344632768</c:v>
                </c:pt>
                <c:pt idx="99">
                  <c:v>0.68359700249791844</c:v>
                </c:pt>
                <c:pt idx="100">
                  <c:v>0.68715846994535512</c:v>
                </c:pt>
                <c:pt idx="101">
                  <c:v>0.68776371308016881</c:v>
                </c:pt>
                <c:pt idx="102">
                  <c:v>0.69158878504672883</c:v>
                </c:pt>
                <c:pt idx="103">
                  <c:v>0.6973564266180492</c:v>
                </c:pt>
                <c:pt idx="104">
                  <c:v>0.7</c:v>
                </c:pt>
                <c:pt idx="105">
                  <c:v>0.70312499999999989</c:v>
                </c:pt>
                <c:pt idx="106">
                  <c:v>0.71047430830039526</c:v>
                </c:pt>
                <c:pt idx="107">
                  <c:v>0.715034965034965</c:v>
                </c:pt>
                <c:pt idx="108">
                  <c:v>0.72106824925816015</c:v>
                </c:pt>
                <c:pt idx="109">
                  <c:v>0.72233009708737872</c:v>
                </c:pt>
                <c:pt idx="110">
                  <c:v>0.73128342245989308</c:v>
                </c:pt>
                <c:pt idx="111">
                  <c:v>0.73277074542897336</c:v>
                </c:pt>
                <c:pt idx="112">
                  <c:v>0.73430656934306571</c:v>
                </c:pt>
                <c:pt idx="113">
                  <c:v>0.73969072164948457</c:v>
                </c:pt>
                <c:pt idx="114">
                  <c:v>0.74011857707509887</c:v>
                </c:pt>
                <c:pt idx="115">
                  <c:v>0.74560117302052786</c:v>
                </c:pt>
                <c:pt idx="116">
                  <c:v>0.74751773049645398</c:v>
                </c:pt>
                <c:pt idx="117">
                  <c:v>0.75072463768115949</c:v>
                </c:pt>
                <c:pt idx="118">
                  <c:v>0.75510204081632659</c:v>
                </c:pt>
                <c:pt idx="119">
                  <c:v>0.75931232091690548</c:v>
                </c:pt>
                <c:pt idx="120">
                  <c:v>0.75939849624060152</c:v>
                </c:pt>
                <c:pt idx="121">
                  <c:v>0.76061776061776065</c:v>
                </c:pt>
                <c:pt idx="122">
                  <c:v>0.76548089591567847</c:v>
                </c:pt>
                <c:pt idx="123">
                  <c:v>0.78190045248868778</c:v>
                </c:pt>
                <c:pt idx="124">
                  <c:v>0.78625954198473269</c:v>
                </c:pt>
                <c:pt idx="125">
                  <c:v>0.78715814506539838</c:v>
                </c:pt>
                <c:pt idx="126">
                  <c:v>0.79166666666666663</c:v>
                </c:pt>
                <c:pt idx="127">
                  <c:v>0.79252704031465082</c:v>
                </c:pt>
                <c:pt idx="128">
                  <c:v>0.7946428571428571</c:v>
                </c:pt>
                <c:pt idx="129">
                  <c:v>0.79638752052545159</c:v>
                </c:pt>
                <c:pt idx="130">
                  <c:v>0.79640718562874246</c:v>
                </c:pt>
                <c:pt idx="131">
                  <c:v>0.79661016949152541</c:v>
                </c:pt>
                <c:pt idx="132">
                  <c:v>0.8</c:v>
                </c:pt>
                <c:pt idx="133">
                  <c:v>0.80586907449209944</c:v>
                </c:pt>
                <c:pt idx="134">
                  <c:v>0.80729166666666663</c:v>
                </c:pt>
                <c:pt idx="135">
                  <c:v>0.8120393120393119</c:v>
                </c:pt>
                <c:pt idx="136">
                  <c:v>0.81770145310435927</c:v>
                </c:pt>
                <c:pt idx="137">
                  <c:v>0.824585635359116</c:v>
                </c:pt>
                <c:pt idx="138">
                  <c:v>0.82625482625482627</c:v>
                </c:pt>
                <c:pt idx="139">
                  <c:v>0.82857142857142851</c:v>
                </c:pt>
                <c:pt idx="140">
                  <c:v>0.82896764252696442</c:v>
                </c:pt>
                <c:pt idx="141">
                  <c:v>0.82905982905982911</c:v>
                </c:pt>
                <c:pt idx="142">
                  <c:v>0.83357452966714918</c:v>
                </c:pt>
                <c:pt idx="143">
                  <c:v>0.83554817275747495</c:v>
                </c:pt>
                <c:pt idx="144">
                  <c:v>0.84106891701828412</c:v>
                </c:pt>
                <c:pt idx="145">
                  <c:v>0.85509838998211085</c:v>
                </c:pt>
                <c:pt idx="146">
                  <c:v>0.85882352941176465</c:v>
                </c:pt>
                <c:pt idx="147">
                  <c:v>0.8593576965669989</c:v>
                </c:pt>
                <c:pt idx="148">
                  <c:v>0.86253776435045315</c:v>
                </c:pt>
                <c:pt idx="149">
                  <c:v>0.8745387453874538</c:v>
                </c:pt>
                <c:pt idx="150">
                  <c:v>0.87926136363636354</c:v>
                </c:pt>
                <c:pt idx="151">
                  <c:v>0.88074824629773962</c:v>
                </c:pt>
                <c:pt idx="152">
                  <c:v>0.88409371146732441</c:v>
                </c:pt>
                <c:pt idx="153">
                  <c:v>0.89443378119001915</c:v>
                </c:pt>
                <c:pt idx="154">
                  <c:v>0.89457364341085277</c:v>
                </c:pt>
                <c:pt idx="155">
                  <c:v>0.89826302729528551</c:v>
                </c:pt>
                <c:pt idx="156">
                  <c:v>0.9</c:v>
                </c:pt>
                <c:pt idx="157">
                  <c:v>0.90465872156013005</c:v>
                </c:pt>
                <c:pt idx="158">
                  <c:v>0.90850515463917536</c:v>
                </c:pt>
                <c:pt idx="159">
                  <c:v>0.91590493601462519</c:v>
                </c:pt>
                <c:pt idx="160">
                  <c:v>0.92256637168141598</c:v>
                </c:pt>
                <c:pt idx="161">
                  <c:v>0.92568659127625197</c:v>
                </c:pt>
                <c:pt idx="162">
                  <c:v>0.93055555555555558</c:v>
                </c:pt>
                <c:pt idx="163">
                  <c:v>0.93230769230769228</c:v>
                </c:pt>
                <c:pt idx="164">
                  <c:v>0.93904208998548622</c:v>
                </c:pt>
                <c:pt idx="165">
                  <c:v>0.94059405940594054</c:v>
                </c:pt>
                <c:pt idx="166">
                  <c:v>0.94712643678160924</c:v>
                </c:pt>
                <c:pt idx="167">
                  <c:v>0.95053475935828868</c:v>
                </c:pt>
                <c:pt idx="168">
                  <c:v>0.9516539440203563</c:v>
                </c:pt>
                <c:pt idx="169">
                  <c:v>0.95283018867924529</c:v>
                </c:pt>
                <c:pt idx="170">
                  <c:v>0.95785440613026829</c:v>
                </c:pt>
                <c:pt idx="171">
                  <c:v>0.96963946869070206</c:v>
                </c:pt>
                <c:pt idx="172">
                  <c:v>0.97222222222222221</c:v>
                </c:pt>
                <c:pt idx="173">
                  <c:v>0.97826086956521741</c:v>
                </c:pt>
                <c:pt idx="174">
                  <c:v>0.98828125</c:v>
                </c:pt>
                <c:pt idx="175">
                  <c:v>0.99826086956521731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B63-4FAB-954B-61DF891EB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Pullback number, sorted shallow to deep</a:t>
                </a:r>
              </a:p>
            </c:rich>
          </c:tx>
          <c:overlay val="1"/>
        </c:title>
        <c:majorTickMark val="none"/>
        <c:minorTickMark val="none"/>
        <c:tickLblPos val="none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Pullback, % of the big move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/>
              <a:t>How many pullbacks in each 10% step, 2026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5662222222222219E-2"/>
          <c:y val="5.131313131313131E-2"/>
          <c:w val="0.82726388888888891"/>
          <c:h val="0.686313131313131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cat>
            <c:strRef>
              <c:f>'2026'!$H$19:$H$28</c:f>
              <c:strCache>
                <c:ptCount val="10"/>
                <c:pt idx="0">
                  <c:v>0-9%</c:v>
                </c:pt>
                <c:pt idx="1">
                  <c:v>10-19%</c:v>
                </c:pt>
                <c:pt idx="2">
                  <c:v>20-29%</c:v>
                </c:pt>
                <c:pt idx="3">
                  <c:v>30-39%</c:v>
                </c:pt>
                <c:pt idx="4">
                  <c:v>40-49%</c:v>
                </c:pt>
                <c:pt idx="5">
                  <c:v>50-59%</c:v>
                </c:pt>
                <c:pt idx="6">
                  <c:v>60-69%</c:v>
                </c:pt>
                <c:pt idx="7">
                  <c:v>70-79%</c:v>
                </c:pt>
                <c:pt idx="8">
                  <c:v>80-89%</c:v>
                </c:pt>
                <c:pt idx="9">
                  <c:v>90-99%</c:v>
                </c:pt>
              </c:strCache>
            </c:strRef>
          </c:cat>
          <c:val>
            <c:numRef>
              <c:f>'2026'!$I$19:$I$28</c:f>
              <c:numCache>
                <c:formatCode>0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18</c:v>
                </c:pt>
                <c:pt idx="4">
                  <c:v>24</c:v>
                </c:pt>
                <c:pt idx="5">
                  <c:v>26</c:v>
                </c:pt>
                <c:pt idx="6">
                  <c:v>28</c:v>
                </c:pt>
                <c:pt idx="7">
                  <c:v>28</c:v>
                </c:pt>
                <c:pt idx="8">
                  <c:v>24</c:v>
                </c:pt>
                <c:pt idx="9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EE-4DDA-AEE5-A68AF572F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Pullback depth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Pullbacks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/>
              <a:t>Pullback depth, sorted, 5 years (n=1766)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6969010416666667E-2"/>
          <c:y val="3.8599814814814816E-2"/>
          <c:w val="0.89296874999999998"/>
          <c:h val="0.77140740740740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 years'!$B$1</c:f>
              <c:strCache>
                <c:ptCount val="1"/>
                <c:pt idx="0">
                  <c:v>Pullback %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val>
            <c:numRef>
              <c:f>'5 years'!$B$2:$B$1767</c:f>
              <c:numCache>
                <c:formatCode>0.0%</c:formatCode>
                <c:ptCount val="1766"/>
                <c:pt idx="0">
                  <c:v>0.10552536231884058</c:v>
                </c:pt>
                <c:pt idx="1">
                  <c:v>0.1167192429022082</c:v>
                </c:pt>
                <c:pt idx="2">
                  <c:v>0.13847251962883655</c:v>
                </c:pt>
                <c:pt idx="3">
                  <c:v>0.14996084573218479</c:v>
                </c:pt>
                <c:pt idx="4">
                  <c:v>0.16088947024198824</c:v>
                </c:pt>
                <c:pt idx="5">
                  <c:v>0.16274603936629858</c:v>
                </c:pt>
                <c:pt idx="6">
                  <c:v>0.16838995568685378</c:v>
                </c:pt>
                <c:pt idx="7">
                  <c:v>0.17129018053720826</c:v>
                </c:pt>
                <c:pt idx="8">
                  <c:v>0.17232094776521273</c:v>
                </c:pt>
                <c:pt idx="9">
                  <c:v>0.17471590909090909</c:v>
                </c:pt>
                <c:pt idx="10">
                  <c:v>0.1762672811059908</c:v>
                </c:pt>
                <c:pt idx="11">
                  <c:v>0.17902646194054228</c:v>
                </c:pt>
                <c:pt idx="12">
                  <c:v>0.1822429906542056</c:v>
                </c:pt>
                <c:pt idx="13">
                  <c:v>0.18274111675126906</c:v>
                </c:pt>
                <c:pt idx="14">
                  <c:v>0.18375815056312983</c:v>
                </c:pt>
                <c:pt idx="15">
                  <c:v>0.1876190476190476</c:v>
                </c:pt>
                <c:pt idx="16">
                  <c:v>0.19186843307446322</c:v>
                </c:pt>
                <c:pt idx="17">
                  <c:v>0.19220549158547384</c:v>
                </c:pt>
                <c:pt idx="18">
                  <c:v>0.19625668449197861</c:v>
                </c:pt>
                <c:pt idx="19">
                  <c:v>0.19641401792991037</c:v>
                </c:pt>
                <c:pt idx="20">
                  <c:v>0.20036764705882357</c:v>
                </c:pt>
                <c:pt idx="21">
                  <c:v>0.20133234641006661</c:v>
                </c:pt>
                <c:pt idx="22">
                  <c:v>0.20133667502088556</c:v>
                </c:pt>
                <c:pt idx="23">
                  <c:v>0.20474308300395255</c:v>
                </c:pt>
                <c:pt idx="24">
                  <c:v>0.20483592400690845</c:v>
                </c:pt>
                <c:pt idx="25">
                  <c:v>0.20750853242320819</c:v>
                </c:pt>
                <c:pt idx="26">
                  <c:v>0.20815031722791605</c:v>
                </c:pt>
                <c:pt idx="27">
                  <c:v>0.21493902439024393</c:v>
                </c:pt>
                <c:pt idx="28">
                  <c:v>0.21700223713646535</c:v>
                </c:pt>
                <c:pt idx="29">
                  <c:v>0.2181384248210024</c:v>
                </c:pt>
                <c:pt idx="30">
                  <c:v>0.22009132420091326</c:v>
                </c:pt>
                <c:pt idx="31">
                  <c:v>0.22343876723438769</c:v>
                </c:pt>
                <c:pt idx="32">
                  <c:v>0.22376409366869038</c:v>
                </c:pt>
                <c:pt idx="33">
                  <c:v>0.22407002188183808</c:v>
                </c:pt>
                <c:pt idx="34">
                  <c:v>0.22571819425444595</c:v>
                </c:pt>
                <c:pt idx="35">
                  <c:v>0.22951709169831794</c:v>
                </c:pt>
                <c:pt idx="36">
                  <c:v>0.23105823418910457</c:v>
                </c:pt>
                <c:pt idx="37">
                  <c:v>0.23162393162393163</c:v>
                </c:pt>
                <c:pt idx="38">
                  <c:v>0.23184713375796179</c:v>
                </c:pt>
                <c:pt idx="39">
                  <c:v>0.2318840579710145</c:v>
                </c:pt>
                <c:pt idx="40">
                  <c:v>0.23370064279155187</c:v>
                </c:pt>
                <c:pt idx="41">
                  <c:v>0.23524590163934425</c:v>
                </c:pt>
                <c:pt idx="42">
                  <c:v>0.23856749311294764</c:v>
                </c:pt>
                <c:pt idx="43">
                  <c:v>0.23862928348909657</c:v>
                </c:pt>
                <c:pt idx="44">
                  <c:v>0.24487334137515077</c:v>
                </c:pt>
                <c:pt idx="45">
                  <c:v>0.24496506370735716</c:v>
                </c:pt>
                <c:pt idx="46">
                  <c:v>0.24633204633204633</c:v>
                </c:pt>
                <c:pt idx="47">
                  <c:v>0.24762908324552158</c:v>
                </c:pt>
                <c:pt idx="48">
                  <c:v>0.24777183600713013</c:v>
                </c:pt>
                <c:pt idx="49">
                  <c:v>0.25070159027128158</c:v>
                </c:pt>
                <c:pt idx="50">
                  <c:v>0.2539356605065024</c:v>
                </c:pt>
                <c:pt idx="51">
                  <c:v>0.25456053067993367</c:v>
                </c:pt>
                <c:pt idx="52">
                  <c:v>0.2572533849129594</c:v>
                </c:pt>
                <c:pt idx="53">
                  <c:v>0.25842696629213485</c:v>
                </c:pt>
                <c:pt idx="54">
                  <c:v>0.26021400778210119</c:v>
                </c:pt>
                <c:pt idx="55">
                  <c:v>0.26110006626905236</c:v>
                </c:pt>
                <c:pt idx="56">
                  <c:v>0.26262626262626265</c:v>
                </c:pt>
                <c:pt idx="57">
                  <c:v>0.26302881667688532</c:v>
                </c:pt>
                <c:pt idx="58">
                  <c:v>0.26376554174067496</c:v>
                </c:pt>
                <c:pt idx="59">
                  <c:v>0.26609724047306177</c:v>
                </c:pt>
                <c:pt idx="60">
                  <c:v>0.26716417910447759</c:v>
                </c:pt>
                <c:pt idx="61">
                  <c:v>0.26823387582881253</c:v>
                </c:pt>
                <c:pt idx="62">
                  <c:v>0.26901669758812619</c:v>
                </c:pt>
                <c:pt idx="63">
                  <c:v>0.2692101020956475</c:v>
                </c:pt>
                <c:pt idx="64">
                  <c:v>0.27017114914425433</c:v>
                </c:pt>
                <c:pt idx="65">
                  <c:v>0.27272727272727271</c:v>
                </c:pt>
                <c:pt idx="66">
                  <c:v>0.27284826974267967</c:v>
                </c:pt>
                <c:pt idx="67">
                  <c:v>0.27353815659068387</c:v>
                </c:pt>
                <c:pt idx="68">
                  <c:v>0.27375565610859726</c:v>
                </c:pt>
                <c:pt idx="69">
                  <c:v>0.27484047402005468</c:v>
                </c:pt>
                <c:pt idx="70">
                  <c:v>0.27502579979360164</c:v>
                </c:pt>
                <c:pt idx="71">
                  <c:v>0.27538522323192416</c:v>
                </c:pt>
                <c:pt idx="72">
                  <c:v>0.27662178702570378</c:v>
                </c:pt>
                <c:pt idx="73">
                  <c:v>0.27687916270218843</c:v>
                </c:pt>
                <c:pt idx="74">
                  <c:v>0.27720739219712526</c:v>
                </c:pt>
                <c:pt idx="75">
                  <c:v>0.27809890815671162</c:v>
                </c:pt>
                <c:pt idx="76">
                  <c:v>0.27900797165633301</c:v>
                </c:pt>
                <c:pt idx="77">
                  <c:v>0.27936962750716332</c:v>
                </c:pt>
                <c:pt idx="78">
                  <c:v>0.28004667444574094</c:v>
                </c:pt>
                <c:pt idx="79">
                  <c:v>0.28029079159935383</c:v>
                </c:pt>
                <c:pt idx="80">
                  <c:v>0.28109965635738832</c:v>
                </c:pt>
                <c:pt idx="81">
                  <c:v>0.28392484342379959</c:v>
                </c:pt>
                <c:pt idx="82">
                  <c:v>0.28483491885842194</c:v>
                </c:pt>
                <c:pt idx="83">
                  <c:v>0.2873082287308229</c:v>
                </c:pt>
                <c:pt idx="84">
                  <c:v>0.29110194460813199</c:v>
                </c:pt>
                <c:pt idx="85">
                  <c:v>0.29112833763996554</c:v>
                </c:pt>
                <c:pt idx="86">
                  <c:v>0.29161882893226176</c:v>
                </c:pt>
                <c:pt idx="87">
                  <c:v>0.29380764163372858</c:v>
                </c:pt>
                <c:pt idx="88">
                  <c:v>0.29515418502202645</c:v>
                </c:pt>
                <c:pt idx="89">
                  <c:v>0.29521586931155192</c:v>
                </c:pt>
                <c:pt idx="90">
                  <c:v>0.29572446555819476</c:v>
                </c:pt>
                <c:pt idx="91">
                  <c:v>0.29625550660792949</c:v>
                </c:pt>
                <c:pt idx="92">
                  <c:v>0.29763866007688083</c:v>
                </c:pt>
                <c:pt idx="93">
                  <c:v>0.29779058597502406</c:v>
                </c:pt>
                <c:pt idx="94">
                  <c:v>0.29958463136033231</c:v>
                </c:pt>
                <c:pt idx="95">
                  <c:v>0.30064516129032259</c:v>
                </c:pt>
                <c:pt idx="96">
                  <c:v>0.30120481927710846</c:v>
                </c:pt>
                <c:pt idx="97">
                  <c:v>0.30126002290950749</c:v>
                </c:pt>
                <c:pt idx="98">
                  <c:v>0.30138637733574442</c:v>
                </c:pt>
                <c:pt idx="99">
                  <c:v>0.30290262172284649</c:v>
                </c:pt>
                <c:pt idx="100">
                  <c:v>0.30363321799307963</c:v>
                </c:pt>
                <c:pt idx="101">
                  <c:v>0.30465717981888746</c:v>
                </c:pt>
                <c:pt idx="102">
                  <c:v>0.3048780487804878</c:v>
                </c:pt>
                <c:pt idx="103">
                  <c:v>0.30579399141630903</c:v>
                </c:pt>
                <c:pt idx="104">
                  <c:v>0.30813953488372092</c:v>
                </c:pt>
                <c:pt idx="105">
                  <c:v>0.30832476875642345</c:v>
                </c:pt>
                <c:pt idx="106">
                  <c:v>0.3086021505376344</c:v>
                </c:pt>
                <c:pt idx="107">
                  <c:v>0.30860805860805862</c:v>
                </c:pt>
                <c:pt idx="108">
                  <c:v>0.3087248322147651</c:v>
                </c:pt>
                <c:pt idx="109">
                  <c:v>0.31015187849720222</c:v>
                </c:pt>
                <c:pt idx="110">
                  <c:v>0.31019332161687169</c:v>
                </c:pt>
                <c:pt idx="111">
                  <c:v>0.31020408163265306</c:v>
                </c:pt>
                <c:pt idx="112">
                  <c:v>0.31053351573187415</c:v>
                </c:pt>
                <c:pt idx="113">
                  <c:v>0.31155378486055779</c:v>
                </c:pt>
                <c:pt idx="114">
                  <c:v>0.31182795698924731</c:v>
                </c:pt>
                <c:pt idx="115">
                  <c:v>0.31191037735849059</c:v>
                </c:pt>
                <c:pt idx="116">
                  <c:v>0.3133159268929504</c:v>
                </c:pt>
                <c:pt idx="117">
                  <c:v>0.31364829396325455</c:v>
                </c:pt>
                <c:pt idx="118">
                  <c:v>0.3137535816618911</c:v>
                </c:pt>
                <c:pt idx="119">
                  <c:v>0.31564245810055869</c:v>
                </c:pt>
                <c:pt idx="120">
                  <c:v>0.31572327044025161</c:v>
                </c:pt>
                <c:pt idx="121">
                  <c:v>0.31601731601731597</c:v>
                </c:pt>
                <c:pt idx="122">
                  <c:v>0.31635651322233105</c:v>
                </c:pt>
                <c:pt idx="123">
                  <c:v>0.3164354322305229</c:v>
                </c:pt>
                <c:pt idx="124">
                  <c:v>0.31663187195546277</c:v>
                </c:pt>
                <c:pt idx="125">
                  <c:v>0.31727272727272726</c:v>
                </c:pt>
                <c:pt idx="126">
                  <c:v>0.31782020684168655</c:v>
                </c:pt>
                <c:pt idx="127">
                  <c:v>0.31796116504854366</c:v>
                </c:pt>
                <c:pt idx="128">
                  <c:v>0.31867057673509291</c:v>
                </c:pt>
                <c:pt idx="129">
                  <c:v>0.31963927855711421</c:v>
                </c:pt>
                <c:pt idx="130">
                  <c:v>0.3211267605633803</c:v>
                </c:pt>
                <c:pt idx="131">
                  <c:v>0.32165832737669764</c:v>
                </c:pt>
                <c:pt idx="132">
                  <c:v>0.32245258050286724</c:v>
                </c:pt>
                <c:pt idx="133">
                  <c:v>0.32395732298739088</c:v>
                </c:pt>
                <c:pt idx="134">
                  <c:v>0.32526315789473681</c:v>
                </c:pt>
                <c:pt idx="135">
                  <c:v>0.32753824756606398</c:v>
                </c:pt>
                <c:pt idx="136">
                  <c:v>0.33004926108374383</c:v>
                </c:pt>
                <c:pt idx="137">
                  <c:v>0.33130434782608698</c:v>
                </c:pt>
                <c:pt idx="138">
                  <c:v>0.3316831683168317</c:v>
                </c:pt>
                <c:pt idx="139">
                  <c:v>0.33217131474103584</c:v>
                </c:pt>
                <c:pt idx="140">
                  <c:v>0.3330843913368185</c:v>
                </c:pt>
                <c:pt idx="141">
                  <c:v>0.33333333333333331</c:v>
                </c:pt>
                <c:pt idx="142">
                  <c:v>0.33518665607625098</c:v>
                </c:pt>
                <c:pt idx="143">
                  <c:v>0.33537206931702346</c:v>
                </c:pt>
                <c:pt idx="144">
                  <c:v>0.33543577981651373</c:v>
                </c:pt>
                <c:pt idx="145">
                  <c:v>0.33602150537634412</c:v>
                </c:pt>
                <c:pt idx="146">
                  <c:v>0.33669354838709675</c:v>
                </c:pt>
                <c:pt idx="147">
                  <c:v>0.33686300463269359</c:v>
                </c:pt>
                <c:pt idx="148">
                  <c:v>0.3370786516853933</c:v>
                </c:pt>
                <c:pt idx="149">
                  <c:v>0.3401639344262295</c:v>
                </c:pt>
                <c:pt idx="150">
                  <c:v>0.34108527131782945</c:v>
                </c:pt>
                <c:pt idx="151">
                  <c:v>0.34168865435356199</c:v>
                </c:pt>
                <c:pt idx="152">
                  <c:v>0.34254807692307693</c:v>
                </c:pt>
                <c:pt idx="153">
                  <c:v>0.34275092936802976</c:v>
                </c:pt>
                <c:pt idx="154">
                  <c:v>0.34534534534534533</c:v>
                </c:pt>
                <c:pt idx="155">
                  <c:v>0.34620174346201743</c:v>
                </c:pt>
                <c:pt idx="156">
                  <c:v>0.34693877551020408</c:v>
                </c:pt>
                <c:pt idx="157">
                  <c:v>0.34735202492211836</c:v>
                </c:pt>
                <c:pt idx="158">
                  <c:v>0.3476968796433878</c:v>
                </c:pt>
                <c:pt idx="159">
                  <c:v>0.34825870646766166</c:v>
                </c:pt>
                <c:pt idx="160">
                  <c:v>0.3493613824192337</c:v>
                </c:pt>
                <c:pt idx="161">
                  <c:v>0.35046113306982873</c:v>
                </c:pt>
                <c:pt idx="162">
                  <c:v>0.35069885641677256</c:v>
                </c:pt>
                <c:pt idx="163">
                  <c:v>0.35082604470359574</c:v>
                </c:pt>
                <c:pt idx="164">
                  <c:v>0.35084033613445376</c:v>
                </c:pt>
                <c:pt idx="165">
                  <c:v>0.3520179372197309</c:v>
                </c:pt>
                <c:pt idx="166">
                  <c:v>0.35220468154599893</c:v>
                </c:pt>
                <c:pt idx="167">
                  <c:v>0.35238095238095235</c:v>
                </c:pt>
                <c:pt idx="168">
                  <c:v>0.35244519392917367</c:v>
                </c:pt>
                <c:pt idx="169">
                  <c:v>0.35299003322259137</c:v>
                </c:pt>
                <c:pt idx="170">
                  <c:v>0.35402684563758391</c:v>
                </c:pt>
                <c:pt idx="171">
                  <c:v>0.35434574976122252</c:v>
                </c:pt>
                <c:pt idx="172">
                  <c:v>0.35504885993485341</c:v>
                </c:pt>
                <c:pt idx="173">
                  <c:v>0.35507246376811596</c:v>
                </c:pt>
                <c:pt idx="174">
                  <c:v>0.35544041450777197</c:v>
                </c:pt>
                <c:pt idx="175">
                  <c:v>0.3559738134206219</c:v>
                </c:pt>
                <c:pt idx="176">
                  <c:v>0.35608108108108111</c:v>
                </c:pt>
                <c:pt idx="177">
                  <c:v>0.35621761658031087</c:v>
                </c:pt>
                <c:pt idx="178">
                  <c:v>0.35629921259842523</c:v>
                </c:pt>
                <c:pt idx="179">
                  <c:v>0.35733695652173919</c:v>
                </c:pt>
                <c:pt idx="180">
                  <c:v>0.35806451612903223</c:v>
                </c:pt>
                <c:pt idx="181">
                  <c:v>0.35828220858895704</c:v>
                </c:pt>
                <c:pt idx="182">
                  <c:v>0.35924528301886793</c:v>
                </c:pt>
                <c:pt idx="183">
                  <c:v>0.35927505330490411</c:v>
                </c:pt>
                <c:pt idx="184">
                  <c:v>0.35938903863432164</c:v>
                </c:pt>
                <c:pt idx="185">
                  <c:v>0.35984207557811615</c:v>
                </c:pt>
                <c:pt idx="186">
                  <c:v>0.36155913978494619</c:v>
                </c:pt>
                <c:pt idx="187">
                  <c:v>0.36281179138321995</c:v>
                </c:pt>
                <c:pt idx="188">
                  <c:v>0.36291486291486291</c:v>
                </c:pt>
                <c:pt idx="189">
                  <c:v>0.36293436293436288</c:v>
                </c:pt>
                <c:pt idx="190">
                  <c:v>0.36303775241439856</c:v>
                </c:pt>
                <c:pt idx="191">
                  <c:v>0.36333333333333334</c:v>
                </c:pt>
                <c:pt idx="192">
                  <c:v>0.36351165980795608</c:v>
                </c:pt>
                <c:pt idx="193">
                  <c:v>0.36363636363636365</c:v>
                </c:pt>
                <c:pt idx="194">
                  <c:v>0.36394366197183098</c:v>
                </c:pt>
                <c:pt idx="195">
                  <c:v>0.36406460296096904</c:v>
                </c:pt>
                <c:pt idx="196">
                  <c:v>0.36463536463536467</c:v>
                </c:pt>
                <c:pt idx="197">
                  <c:v>0.36615044247787609</c:v>
                </c:pt>
                <c:pt idx="198">
                  <c:v>0.36618004866180048</c:v>
                </c:pt>
                <c:pt idx="199">
                  <c:v>0.36643571978444955</c:v>
                </c:pt>
                <c:pt idx="200">
                  <c:v>0.36756756756756753</c:v>
                </c:pt>
                <c:pt idx="201">
                  <c:v>0.36766809728183114</c:v>
                </c:pt>
                <c:pt idx="202">
                  <c:v>0.36801375752364573</c:v>
                </c:pt>
                <c:pt idx="203">
                  <c:v>0.36818181818181817</c:v>
                </c:pt>
                <c:pt idx="204">
                  <c:v>0.36842105263157898</c:v>
                </c:pt>
                <c:pt idx="205">
                  <c:v>0.36865839909808346</c:v>
                </c:pt>
                <c:pt idx="206">
                  <c:v>0.36874999999999997</c:v>
                </c:pt>
                <c:pt idx="207">
                  <c:v>0.36885245901639346</c:v>
                </c:pt>
                <c:pt idx="208">
                  <c:v>0.36908962597035994</c:v>
                </c:pt>
                <c:pt idx="209">
                  <c:v>0.36934306569343067</c:v>
                </c:pt>
                <c:pt idx="210">
                  <c:v>0.3702664796633941</c:v>
                </c:pt>
                <c:pt idx="211">
                  <c:v>0.37037037037037035</c:v>
                </c:pt>
                <c:pt idx="212">
                  <c:v>0.37268128161888708</c:v>
                </c:pt>
                <c:pt idx="213">
                  <c:v>0.37397420867526376</c:v>
                </c:pt>
                <c:pt idx="214">
                  <c:v>0.3742971887550201</c:v>
                </c:pt>
                <c:pt idx="215">
                  <c:v>0.37514384349827384</c:v>
                </c:pt>
                <c:pt idx="216">
                  <c:v>0.37633262260127931</c:v>
                </c:pt>
                <c:pt idx="217">
                  <c:v>0.37649880095923255</c:v>
                </c:pt>
                <c:pt idx="218">
                  <c:v>0.3767798466593647</c:v>
                </c:pt>
                <c:pt idx="219">
                  <c:v>0.37737407101568954</c:v>
                </c:pt>
                <c:pt idx="220">
                  <c:v>0.37857142857142861</c:v>
                </c:pt>
                <c:pt idx="221">
                  <c:v>0.37882096069869003</c:v>
                </c:pt>
                <c:pt idx="222">
                  <c:v>0.37924757281553395</c:v>
                </c:pt>
                <c:pt idx="223">
                  <c:v>0.38115183246073298</c:v>
                </c:pt>
                <c:pt idx="224">
                  <c:v>0.38127090301003347</c:v>
                </c:pt>
                <c:pt idx="225">
                  <c:v>0.38183694530443757</c:v>
                </c:pt>
                <c:pt idx="226">
                  <c:v>0.38193624557260919</c:v>
                </c:pt>
                <c:pt idx="227">
                  <c:v>0.38219895287958117</c:v>
                </c:pt>
                <c:pt idx="228">
                  <c:v>0.38373983739837403</c:v>
                </c:pt>
                <c:pt idx="229">
                  <c:v>0.38461538461538458</c:v>
                </c:pt>
                <c:pt idx="230">
                  <c:v>0.38471587197909862</c:v>
                </c:pt>
                <c:pt idx="231">
                  <c:v>0.38476658476658476</c:v>
                </c:pt>
                <c:pt idx="232">
                  <c:v>0.38561244329228772</c:v>
                </c:pt>
                <c:pt idx="233">
                  <c:v>0.38688524590163931</c:v>
                </c:pt>
                <c:pt idx="234">
                  <c:v>0.38716981132075468</c:v>
                </c:pt>
                <c:pt idx="235">
                  <c:v>0.38738738738738737</c:v>
                </c:pt>
                <c:pt idx="236">
                  <c:v>0.38785714285714284</c:v>
                </c:pt>
                <c:pt idx="237">
                  <c:v>0.38786279683377306</c:v>
                </c:pt>
                <c:pt idx="238">
                  <c:v>0.38787878787878788</c:v>
                </c:pt>
                <c:pt idx="239">
                  <c:v>0.38962962962962966</c:v>
                </c:pt>
                <c:pt idx="240">
                  <c:v>0.38968915845337376</c:v>
                </c:pt>
                <c:pt idx="241">
                  <c:v>0.38989169675090252</c:v>
                </c:pt>
                <c:pt idx="242">
                  <c:v>0.39072520966946228</c:v>
                </c:pt>
                <c:pt idx="243">
                  <c:v>0.39254108723135278</c:v>
                </c:pt>
                <c:pt idx="244">
                  <c:v>0.39303482587064675</c:v>
                </c:pt>
                <c:pt idx="245">
                  <c:v>0.39316239316239321</c:v>
                </c:pt>
                <c:pt idx="246">
                  <c:v>0.3936381709741551</c:v>
                </c:pt>
                <c:pt idx="247">
                  <c:v>0.39372138652714195</c:v>
                </c:pt>
                <c:pt idx="248">
                  <c:v>0.3961474036850921</c:v>
                </c:pt>
                <c:pt idx="249">
                  <c:v>0.39653035935563813</c:v>
                </c:pt>
                <c:pt idx="250">
                  <c:v>0.39689440993788822</c:v>
                </c:pt>
                <c:pt idx="251">
                  <c:v>0.39694656488549618</c:v>
                </c:pt>
                <c:pt idx="252">
                  <c:v>0.39729729729729729</c:v>
                </c:pt>
                <c:pt idx="253">
                  <c:v>0.39812889812889807</c:v>
                </c:pt>
                <c:pt idx="254">
                  <c:v>0.39841089670828606</c:v>
                </c:pt>
                <c:pt idx="255">
                  <c:v>0.39927623642943305</c:v>
                </c:pt>
                <c:pt idx="256">
                  <c:v>0.39957716701902746</c:v>
                </c:pt>
                <c:pt idx="257">
                  <c:v>0.39974779319041615</c:v>
                </c:pt>
                <c:pt idx="258">
                  <c:v>0.40140845070422537</c:v>
                </c:pt>
                <c:pt idx="259">
                  <c:v>0.40217391304347822</c:v>
                </c:pt>
                <c:pt idx="260">
                  <c:v>0.40220517737296263</c:v>
                </c:pt>
                <c:pt idx="261">
                  <c:v>0.40249609984399382</c:v>
                </c:pt>
                <c:pt idx="262">
                  <c:v>0.40282301845819768</c:v>
                </c:pt>
                <c:pt idx="263">
                  <c:v>0.40314136125654448</c:v>
                </c:pt>
                <c:pt idx="264">
                  <c:v>0.40533778148457045</c:v>
                </c:pt>
                <c:pt idx="265">
                  <c:v>0.40609840609840608</c:v>
                </c:pt>
                <c:pt idx="266">
                  <c:v>0.40614990390775146</c:v>
                </c:pt>
                <c:pt idx="267">
                  <c:v>0.40671641791044777</c:v>
                </c:pt>
                <c:pt idx="268">
                  <c:v>0.40697674418604646</c:v>
                </c:pt>
                <c:pt idx="269">
                  <c:v>0.4080962800875273</c:v>
                </c:pt>
                <c:pt idx="270">
                  <c:v>0.40810419681620841</c:v>
                </c:pt>
                <c:pt idx="271">
                  <c:v>0.40816326530612246</c:v>
                </c:pt>
                <c:pt idx="272">
                  <c:v>0.40837696335078533</c:v>
                </c:pt>
                <c:pt idx="273">
                  <c:v>0.41087613293051356</c:v>
                </c:pt>
                <c:pt idx="274">
                  <c:v>0.41167434715821816</c:v>
                </c:pt>
                <c:pt idx="275">
                  <c:v>0.41211225997045786</c:v>
                </c:pt>
                <c:pt idx="276">
                  <c:v>0.41257668711656437</c:v>
                </c:pt>
                <c:pt idx="277">
                  <c:v>0.41293166789125646</c:v>
                </c:pt>
                <c:pt idx="278">
                  <c:v>0.41335131490222515</c:v>
                </c:pt>
                <c:pt idx="279">
                  <c:v>0.41390306122448978</c:v>
                </c:pt>
                <c:pt idx="280">
                  <c:v>0.41425818882466281</c:v>
                </c:pt>
                <c:pt idx="281">
                  <c:v>0.41488451668092385</c:v>
                </c:pt>
                <c:pt idx="282">
                  <c:v>0.41603053435114506</c:v>
                </c:pt>
                <c:pt idx="283">
                  <c:v>0.41673243883188632</c:v>
                </c:pt>
                <c:pt idx="284">
                  <c:v>0.4178082191780822</c:v>
                </c:pt>
                <c:pt idx="285">
                  <c:v>0.41930835734870314</c:v>
                </c:pt>
                <c:pt idx="286">
                  <c:v>0.41946697566628044</c:v>
                </c:pt>
                <c:pt idx="287">
                  <c:v>0.41955835962145116</c:v>
                </c:pt>
                <c:pt idx="288">
                  <c:v>0.42018348623853208</c:v>
                </c:pt>
                <c:pt idx="289">
                  <c:v>0.42026825633383014</c:v>
                </c:pt>
                <c:pt idx="290">
                  <c:v>0.42056074766355139</c:v>
                </c:pt>
                <c:pt idx="291">
                  <c:v>0.42059336823734733</c:v>
                </c:pt>
                <c:pt idx="292">
                  <c:v>0.42132867132867136</c:v>
                </c:pt>
                <c:pt idx="293">
                  <c:v>0.42191544434857631</c:v>
                </c:pt>
                <c:pt idx="294">
                  <c:v>0.42194513715710719</c:v>
                </c:pt>
                <c:pt idx="295">
                  <c:v>0.4219653179190751</c:v>
                </c:pt>
                <c:pt idx="296">
                  <c:v>0.42286751361161523</c:v>
                </c:pt>
                <c:pt idx="297">
                  <c:v>0.4229368932038835</c:v>
                </c:pt>
                <c:pt idx="298">
                  <c:v>0.42348284960422167</c:v>
                </c:pt>
                <c:pt idx="299">
                  <c:v>0.42379182156133832</c:v>
                </c:pt>
                <c:pt idx="300">
                  <c:v>0.42397336293007776</c:v>
                </c:pt>
                <c:pt idx="301">
                  <c:v>0.42412140575079871</c:v>
                </c:pt>
                <c:pt idx="302">
                  <c:v>0.42559753276792606</c:v>
                </c:pt>
                <c:pt idx="303">
                  <c:v>0.42617960426179602</c:v>
                </c:pt>
                <c:pt idx="304">
                  <c:v>0.42658423493044823</c:v>
                </c:pt>
                <c:pt idx="305">
                  <c:v>0.42732558139534882</c:v>
                </c:pt>
                <c:pt idx="306">
                  <c:v>0.42782608695652175</c:v>
                </c:pt>
                <c:pt idx="307">
                  <c:v>0.42797783933518002</c:v>
                </c:pt>
                <c:pt idx="308">
                  <c:v>0.42812982998454402</c:v>
                </c:pt>
                <c:pt idx="309">
                  <c:v>0.4285714285714286</c:v>
                </c:pt>
                <c:pt idx="310">
                  <c:v>0.42986152919927761</c:v>
                </c:pt>
                <c:pt idx="311">
                  <c:v>0.42995594713656388</c:v>
                </c:pt>
                <c:pt idx="312">
                  <c:v>0.43110236220472442</c:v>
                </c:pt>
                <c:pt idx="313">
                  <c:v>0.43145869947275928</c:v>
                </c:pt>
                <c:pt idx="314">
                  <c:v>0.43160377358490565</c:v>
                </c:pt>
                <c:pt idx="315">
                  <c:v>0.43227239082161362</c:v>
                </c:pt>
                <c:pt idx="316">
                  <c:v>0.43371378402107108</c:v>
                </c:pt>
                <c:pt idx="317">
                  <c:v>0.43394199785177229</c:v>
                </c:pt>
                <c:pt idx="318">
                  <c:v>0.43421795595708645</c:v>
                </c:pt>
                <c:pt idx="319">
                  <c:v>0.43464399574920298</c:v>
                </c:pt>
                <c:pt idx="320">
                  <c:v>0.43467011642949549</c:v>
                </c:pt>
                <c:pt idx="321">
                  <c:v>0.43486590038314171</c:v>
                </c:pt>
                <c:pt idx="322">
                  <c:v>0.43696450428396577</c:v>
                </c:pt>
                <c:pt idx="323">
                  <c:v>0.43705799151343699</c:v>
                </c:pt>
                <c:pt idx="324">
                  <c:v>0.43807870370370372</c:v>
                </c:pt>
                <c:pt idx="325">
                  <c:v>0.43939393939393934</c:v>
                </c:pt>
                <c:pt idx="326">
                  <c:v>0.44155844155844159</c:v>
                </c:pt>
                <c:pt idx="327">
                  <c:v>0.44189852700490995</c:v>
                </c:pt>
                <c:pt idx="328">
                  <c:v>0.44284428442844287</c:v>
                </c:pt>
                <c:pt idx="329">
                  <c:v>0.44289693593314766</c:v>
                </c:pt>
                <c:pt idx="330">
                  <c:v>0.44366197183098594</c:v>
                </c:pt>
                <c:pt idx="331">
                  <c:v>0.44383346425765907</c:v>
                </c:pt>
                <c:pt idx="332">
                  <c:v>0.44504504504504505</c:v>
                </c:pt>
                <c:pt idx="333">
                  <c:v>0.44519230769230766</c:v>
                </c:pt>
                <c:pt idx="334">
                  <c:v>0.44570707070707066</c:v>
                </c:pt>
                <c:pt idx="335">
                  <c:v>0.4457662701189643</c:v>
                </c:pt>
                <c:pt idx="336">
                  <c:v>0.44603709949409781</c:v>
                </c:pt>
                <c:pt idx="337">
                  <c:v>0.44660194174757284</c:v>
                </c:pt>
                <c:pt idx="338">
                  <c:v>0.44680851063829785</c:v>
                </c:pt>
                <c:pt idx="339">
                  <c:v>0.44734693877551018</c:v>
                </c:pt>
                <c:pt idx="340">
                  <c:v>0.44769403824521931</c:v>
                </c:pt>
                <c:pt idx="341">
                  <c:v>0.44787644787644781</c:v>
                </c:pt>
                <c:pt idx="342">
                  <c:v>0.4483892176199869</c:v>
                </c:pt>
                <c:pt idx="343">
                  <c:v>0.44961896697713805</c:v>
                </c:pt>
                <c:pt idx="344">
                  <c:v>0.44985673352435529</c:v>
                </c:pt>
                <c:pt idx="345">
                  <c:v>0.45112781954887216</c:v>
                </c:pt>
                <c:pt idx="346">
                  <c:v>0.45177045177045172</c:v>
                </c:pt>
                <c:pt idx="347">
                  <c:v>0.45192307692307698</c:v>
                </c:pt>
                <c:pt idx="348">
                  <c:v>0.45195195195195204</c:v>
                </c:pt>
                <c:pt idx="349">
                  <c:v>0.45196506550218341</c:v>
                </c:pt>
                <c:pt idx="350">
                  <c:v>0.45276872964169385</c:v>
                </c:pt>
                <c:pt idx="351">
                  <c:v>0.45306122448979586</c:v>
                </c:pt>
                <c:pt idx="352">
                  <c:v>0.45356371490280778</c:v>
                </c:pt>
                <c:pt idx="353">
                  <c:v>0.45446507515473034</c:v>
                </c:pt>
                <c:pt idx="354">
                  <c:v>0.45471877979027647</c:v>
                </c:pt>
                <c:pt idx="355">
                  <c:v>0.45525291828793774</c:v>
                </c:pt>
                <c:pt idx="356">
                  <c:v>0.4552912223133716</c:v>
                </c:pt>
                <c:pt idx="357">
                  <c:v>0.4554838709677419</c:v>
                </c:pt>
                <c:pt idx="358">
                  <c:v>0.45571955719557194</c:v>
                </c:pt>
                <c:pt idx="359">
                  <c:v>0.45589692765113971</c:v>
                </c:pt>
                <c:pt idx="360">
                  <c:v>0.45593419506462984</c:v>
                </c:pt>
                <c:pt idx="361">
                  <c:v>0.45603271983640087</c:v>
                </c:pt>
                <c:pt idx="362">
                  <c:v>0.45639534883720928</c:v>
                </c:pt>
                <c:pt idx="363">
                  <c:v>0.45667447306791564</c:v>
                </c:pt>
                <c:pt idx="364">
                  <c:v>0.4567126725219573</c:v>
                </c:pt>
                <c:pt idx="365">
                  <c:v>0.45673505798394298</c:v>
                </c:pt>
                <c:pt idx="366">
                  <c:v>0.45691906005221927</c:v>
                </c:pt>
                <c:pt idx="367">
                  <c:v>0.45714285714285713</c:v>
                </c:pt>
                <c:pt idx="368">
                  <c:v>0.45732130464954895</c:v>
                </c:pt>
                <c:pt idx="369">
                  <c:v>0.45732484076433122</c:v>
                </c:pt>
                <c:pt idx="370">
                  <c:v>0.45752427184466021</c:v>
                </c:pt>
                <c:pt idx="371">
                  <c:v>0.45799999999999996</c:v>
                </c:pt>
                <c:pt idx="372">
                  <c:v>0.45871559633027525</c:v>
                </c:pt>
                <c:pt idx="373">
                  <c:v>0.45892116182572612</c:v>
                </c:pt>
                <c:pt idx="374">
                  <c:v>0.46031746031746035</c:v>
                </c:pt>
                <c:pt idx="375">
                  <c:v>0.46035805626598464</c:v>
                </c:pt>
                <c:pt idx="376">
                  <c:v>0.46122994652406418</c:v>
                </c:pt>
                <c:pt idx="377">
                  <c:v>0.46139705882352944</c:v>
                </c:pt>
                <c:pt idx="378">
                  <c:v>0.46223958333333337</c:v>
                </c:pt>
                <c:pt idx="379">
                  <c:v>0.46236559139784944</c:v>
                </c:pt>
                <c:pt idx="380">
                  <c:v>0.46250000000000002</c:v>
                </c:pt>
                <c:pt idx="381">
                  <c:v>0.46286472148541108</c:v>
                </c:pt>
                <c:pt idx="382">
                  <c:v>0.46286701208981001</c:v>
                </c:pt>
                <c:pt idx="383">
                  <c:v>0.46314102564102561</c:v>
                </c:pt>
                <c:pt idx="384">
                  <c:v>0.46351931330472101</c:v>
                </c:pt>
                <c:pt idx="385">
                  <c:v>0.46370235934664245</c:v>
                </c:pt>
                <c:pt idx="386">
                  <c:v>0.46458333333333335</c:v>
                </c:pt>
                <c:pt idx="387">
                  <c:v>0.46506428172163222</c:v>
                </c:pt>
                <c:pt idx="388">
                  <c:v>0.46567717996289426</c:v>
                </c:pt>
                <c:pt idx="389">
                  <c:v>0.46575342465753422</c:v>
                </c:pt>
                <c:pt idx="390">
                  <c:v>0.46580406654343803</c:v>
                </c:pt>
                <c:pt idx="391">
                  <c:v>0.46622264509990485</c:v>
                </c:pt>
                <c:pt idx="392">
                  <c:v>0.46657571623465216</c:v>
                </c:pt>
                <c:pt idx="393">
                  <c:v>0.46756032171581768</c:v>
                </c:pt>
                <c:pt idx="394">
                  <c:v>0.46824542518837459</c:v>
                </c:pt>
                <c:pt idx="395">
                  <c:v>0.46825396825396826</c:v>
                </c:pt>
                <c:pt idx="396">
                  <c:v>0.46907817969661614</c:v>
                </c:pt>
                <c:pt idx="397">
                  <c:v>0.46995029371893354</c:v>
                </c:pt>
                <c:pt idx="398">
                  <c:v>0.47013188518231186</c:v>
                </c:pt>
                <c:pt idx="399">
                  <c:v>0.47013977128335449</c:v>
                </c:pt>
                <c:pt idx="400">
                  <c:v>0.47016129032258064</c:v>
                </c:pt>
                <c:pt idx="401">
                  <c:v>0.4705111402359109</c:v>
                </c:pt>
                <c:pt idx="402">
                  <c:v>0.47058823529411764</c:v>
                </c:pt>
                <c:pt idx="403">
                  <c:v>0.47072419106317409</c:v>
                </c:pt>
                <c:pt idx="404">
                  <c:v>0.47080561714708052</c:v>
                </c:pt>
                <c:pt idx="405">
                  <c:v>0.47093023255813954</c:v>
                </c:pt>
                <c:pt idx="406">
                  <c:v>0.47095959595959591</c:v>
                </c:pt>
                <c:pt idx="407">
                  <c:v>0.47150259067357519</c:v>
                </c:pt>
                <c:pt idx="408">
                  <c:v>0.47176079734219267</c:v>
                </c:pt>
                <c:pt idx="409">
                  <c:v>0.4724857685009487</c:v>
                </c:pt>
                <c:pt idx="410">
                  <c:v>0.472596585804133</c:v>
                </c:pt>
                <c:pt idx="411">
                  <c:v>0.47335423197492166</c:v>
                </c:pt>
                <c:pt idx="412">
                  <c:v>0.47375</c:v>
                </c:pt>
                <c:pt idx="413">
                  <c:v>0.47473937449879711</c:v>
                </c:pt>
                <c:pt idx="414">
                  <c:v>0.47502116850127013</c:v>
                </c:pt>
                <c:pt idx="415">
                  <c:v>0.47503782148260215</c:v>
                </c:pt>
                <c:pt idx="416">
                  <c:v>0.47550432276657056</c:v>
                </c:pt>
                <c:pt idx="417">
                  <c:v>0.47556142668428009</c:v>
                </c:pt>
                <c:pt idx="418">
                  <c:v>0.47593097184377842</c:v>
                </c:pt>
                <c:pt idx="419">
                  <c:v>0.47627906976744189</c:v>
                </c:pt>
                <c:pt idx="420">
                  <c:v>0.47692307692307689</c:v>
                </c:pt>
                <c:pt idx="421">
                  <c:v>0.47703412073490814</c:v>
                </c:pt>
                <c:pt idx="422">
                  <c:v>0.47779751332149201</c:v>
                </c:pt>
                <c:pt idx="423">
                  <c:v>0.47796934865900381</c:v>
                </c:pt>
                <c:pt idx="424">
                  <c:v>0.47803163444639718</c:v>
                </c:pt>
                <c:pt idx="425">
                  <c:v>0.47868453105968334</c:v>
                </c:pt>
                <c:pt idx="426">
                  <c:v>0.47897623400365624</c:v>
                </c:pt>
                <c:pt idx="427">
                  <c:v>0.4799357945425361</c:v>
                </c:pt>
                <c:pt idx="428">
                  <c:v>0.48012232415902145</c:v>
                </c:pt>
                <c:pt idx="429">
                  <c:v>0.48046875</c:v>
                </c:pt>
                <c:pt idx="430">
                  <c:v>0.48055207026348801</c:v>
                </c:pt>
                <c:pt idx="431">
                  <c:v>0.4809286898839138</c:v>
                </c:pt>
                <c:pt idx="432">
                  <c:v>0.48107569721115534</c:v>
                </c:pt>
                <c:pt idx="433">
                  <c:v>0.48118081180811811</c:v>
                </c:pt>
                <c:pt idx="434">
                  <c:v>0.48143982002249713</c:v>
                </c:pt>
                <c:pt idx="435">
                  <c:v>0.48165137614678899</c:v>
                </c:pt>
                <c:pt idx="436">
                  <c:v>0.48191933240611956</c:v>
                </c:pt>
                <c:pt idx="437">
                  <c:v>0.48211243611584326</c:v>
                </c:pt>
                <c:pt idx="438">
                  <c:v>0.4824438202247191</c:v>
                </c:pt>
                <c:pt idx="439">
                  <c:v>0.48259385665529014</c:v>
                </c:pt>
                <c:pt idx="440">
                  <c:v>0.48328557784145176</c:v>
                </c:pt>
                <c:pt idx="441">
                  <c:v>0.48341232227488151</c:v>
                </c:pt>
                <c:pt idx="442">
                  <c:v>0.48354792560801135</c:v>
                </c:pt>
                <c:pt idx="443">
                  <c:v>0.48355555555555552</c:v>
                </c:pt>
                <c:pt idx="444">
                  <c:v>0.48358585858585851</c:v>
                </c:pt>
                <c:pt idx="445">
                  <c:v>0.48396501457725954</c:v>
                </c:pt>
                <c:pt idx="446">
                  <c:v>0.48411214953271026</c:v>
                </c:pt>
                <c:pt idx="447">
                  <c:v>0.48412698412698413</c:v>
                </c:pt>
                <c:pt idx="448">
                  <c:v>0.48493150684931507</c:v>
                </c:pt>
                <c:pt idx="449">
                  <c:v>0.48648648648648651</c:v>
                </c:pt>
                <c:pt idx="450">
                  <c:v>0.48714285714285716</c:v>
                </c:pt>
                <c:pt idx="451">
                  <c:v>0.48722800378429515</c:v>
                </c:pt>
                <c:pt idx="452">
                  <c:v>0.48763250883392223</c:v>
                </c:pt>
                <c:pt idx="453">
                  <c:v>0.48793565683646112</c:v>
                </c:pt>
                <c:pt idx="454">
                  <c:v>0.48838383838383842</c:v>
                </c:pt>
                <c:pt idx="455">
                  <c:v>0.48846675712347354</c:v>
                </c:pt>
                <c:pt idx="456">
                  <c:v>0.48851939825811563</c:v>
                </c:pt>
                <c:pt idx="457">
                  <c:v>0.48885077186963982</c:v>
                </c:pt>
                <c:pt idx="458">
                  <c:v>0.48948220064724923</c:v>
                </c:pt>
                <c:pt idx="459">
                  <c:v>0.48957298907646468</c:v>
                </c:pt>
                <c:pt idx="460">
                  <c:v>0.49039692701664533</c:v>
                </c:pt>
                <c:pt idx="461">
                  <c:v>0.49061032863849763</c:v>
                </c:pt>
                <c:pt idx="462">
                  <c:v>0.49105367793240556</c:v>
                </c:pt>
                <c:pt idx="463">
                  <c:v>0.49168399168399163</c:v>
                </c:pt>
                <c:pt idx="464">
                  <c:v>0.49180327868852458</c:v>
                </c:pt>
                <c:pt idx="465">
                  <c:v>0.49186991869918695</c:v>
                </c:pt>
                <c:pt idx="466">
                  <c:v>0.49210110584518169</c:v>
                </c:pt>
                <c:pt idx="467">
                  <c:v>0.49323715058611362</c:v>
                </c:pt>
                <c:pt idx="468">
                  <c:v>0.49333333333333329</c:v>
                </c:pt>
                <c:pt idx="469">
                  <c:v>0.49335548172757471</c:v>
                </c:pt>
                <c:pt idx="470">
                  <c:v>0.49341142020497808</c:v>
                </c:pt>
                <c:pt idx="471">
                  <c:v>0.49382716049382719</c:v>
                </c:pt>
                <c:pt idx="472">
                  <c:v>0.4942307692307692</c:v>
                </c:pt>
                <c:pt idx="473">
                  <c:v>0.49426485922836283</c:v>
                </c:pt>
                <c:pt idx="474">
                  <c:v>0.49470338983050849</c:v>
                </c:pt>
                <c:pt idx="475">
                  <c:v>0.49481327800829877</c:v>
                </c:pt>
                <c:pt idx="476">
                  <c:v>0.49481865284974097</c:v>
                </c:pt>
                <c:pt idx="477">
                  <c:v>0.49495798319327727</c:v>
                </c:pt>
                <c:pt idx="478">
                  <c:v>0.49513381995133821</c:v>
                </c:pt>
                <c:pt idx="479">
                  <c:v>0.49556650246305417</c:v>
                </c:pt>
                <c:pt idx="480">
                  <c:v>0.4955752212389381</c:v>
                </c:pt>
                <c:pt idx="481">
                  <c:v>0.49565217391304345</c:v>
                </c:pt>
                <c:pt idx="482">
                  <c:v>0.49627174813587405</c:v>
                </c:pt>
                <c:pt idx="483">
                  <c:v>0.49668874172185429</c:v>
                </c:pt>
                <c:pt idx="484">
                  <c:v>0.49785407725321879</c:v>
                </c:pt>
                <c:pt idx="485">
                  <c:v>0.49806651198762569</c:v>
                </c:pt>
                <c:pt idx="486">
                  <c:v>0.49813432835820892</c:v>
                </c:pt>
                <c:pt idx="487">
                  <c:v>0.49904397705544939</c:v>
                </c:pt>
                <c:pt idx="488">
                  <c:v>0.49926793557833093</c:v>
                </c:pt>
                <c:pt idx="489">
                  <c:v>0.49929478138222844</c:v>
                </c:pt>
                <c:pt idx="490">
                  <c:v>0.49953831948291783</c:v>
                </c:pt>
                <c:pt idx="491">
                  <c:v>0.5</c:v>
                </c:pt>
                <c:pt idx="492">
                  <c:v>0.50056882821387938</c:v>
                </c:pt>
                <c:pt idx="493">
                  <c:v>0.50095238095238093</c:v>
                </c:pt>
                <c:pt idx="494">
                  <c:v>0.50099800399201599</c:v>
                </c:pt>
                <c:pt idx="495">
                  <c:v>0.50277469478357384</c:v>
                </c:pt>
                <c:pt idx="496">
                  <c:v>0.50287356321839083</c:v>
                </c:pt>
                <c:pt idx="497">
                  <c:v>0.50287907869481763</c:v>
                </c:pt>
                <c:pt idx="498">
                  <c:v>0.50309789343246591</c:v>
                </c:pt>
                <c:pt idx="499">
                  <c:v>0.50369198312236285</c:v>
                </c:pt>
                <c:pt idx="500">
                  <c:v>0.50425273390036451</c:v>
                </c:pt>
                <c:pt idx="501">
                  <c:v>0.50531914893617025</c:v>
                </c:pt>
                <c:pt idx="502">
                  <c:v>0.50564726324934839</c:v>
                </c:pt>
                <c:pt idx="503">
                  <c:v>0.50573065902578795</c:v>
                </c:pt>
                <c:pt idx="504">
                  <c:v>0.50645624103299847</c:v>
                </c:pt>
                <c:pt idx="505">
                  <c:v>0.50654450261780104</c:v>
                </c:pt>
                <c:pt idx="506">
                  <c:v>0.50655021834061131</c:v>
                </c:pt>
                <c:pt idx="507">
                  <c:v>0.50659630606860162</c:v>
                </c:pt>
                <c:pt idx="508">
                  <c:v>0.50692520775623273</c:v>
                </c:pt>
                <c:pt idx="509">
                  <c:v>0.50705394190871367</c:v>
                </c:pt>
                <c:pt idx="510">
                  <c:v>0.50721153846153844</c:v>
                </c:pt>
                <c:pt idx="511">
                  <c:v>0.50740740740740742</c:v>
                </c:pt>
                <c:pt idx="512">
                  <c:v>0.50805270863836027</c:v>
                </c:pt>
                <c:pt idx="513">
                  <c:v>0.50959232613908867</c:v>
                </c:pt>
                <c:pt idx="514">
                  <c:v>0.50996015936254979</c:v>
                </c:pt>
                <c:pt idx="515">
                  <c:v>0.51020408163265307</c:v>
                </c:pt>
                <c:pt idx="516">
                  <c:v>0.51078167115902962</c:v>
                </c:pt>
                <c:pt idx="517">
                  <c:v>0.51094027202838566</c:v>
                </c:pt>
                <c:pt idx="518">
                  <c:v>0.51143641354071367</c:v>
                </c:pt>
                <c:pt idx="519">
                  <c:v>0.51160862354892211</c:v>
                </c:pt>
                <c:pt idx="520">
                  <c:v>0.51187648456057011</c:v>
                </c:pt>
                <c:pt idx="521">
                  <c:v>0.51188986232790978</c:v>
                </c:pt>
                <c:pt idx="522">
                  <c:v>0.51201478743068385</c:v>
                </c:pt>
                <c:pt idx="523">
                  <c:v>0.51226993865030668</c:v>
                </c:pt>
                <c:pt idx="524">
                  <c:v>0.51229508196721307</c:v>
                </c:pt>
                <c:pt idx="525">
                  <c:v>0.51245551601423489</c:v>
                </c:pt>
                <c:pt idx="526">
                  <c:v>0.51277683134582619</c:v>
                </c:pt>
                <c:pt idx="527">
                  <c:v>0.51297898640296657</c:v>
                </c:pt>
                <c:pt idx="528">
                  <c:v>0.51381215469613262</c:v>
                </c:pt>
                <c:pt idx="529">
                  <c:v>0.51381692573402415</c:v>
                </c:pt>
                <c:pt idx="530">
                  <c:v>0.51385041551246535</c:v>
                </c:pt>
                <c:pt idx="531">
                  <c:v>0.51391254968767752</c:v>
                </c:pt>
                <c:pt idx="532">
                  <c:v>0.51423487544483981</c:v>
                </c:pt>
                <c:pt idx="533">
                  <c:v>0.51428571428571423</c:v>
                </c:pt>
                <c:pt idx="534">
                  <c:v>0.51442786069651747</c:v>
                </c:pt>
                <c:pt idx="535">
                  <c:v>0.5146443514644351</c:v>
                </c:pt>
                <c:pt idx="536">
                  <c:v>0.51523809523809527</c:v>
                </c:pt>
                <c:pt idx="537">
                  <c:v>0.51550614394382677</c:v>
                </c:pt>
                <c:pt idx="538">
                  <c:v>0.51566265060240968</c:v>
                </c:pt>
                <c:pt idx="539">
                  <c:v>0.51607584501236603</c:v>
                </c:pt>
                <c:pt idx="540">
                  <c:v>0.51632047477744814</c:v>
                </c:pt>
                <c:pt idx="541">
                  <c:v>0.51653261840929399</c:v>
                </c:pt>
                <c:pt idx="542">
                  <c:v>0.51679999999999993</c:v>
                </c:pt>
                <c:pt idx="543">
                  <c:v>0.51696065128900948</c:v>
                </c:pt>
                <c:pt idx="544">
                  <c:v>0.51698113207547169</c:v>
                </c:pt>
                <c:pt idx="545">
                  <c:v>0.51771117166212532</c:v>
                </c:pt>
                <c:pt idx="546">
                  <c:v>0.51823812801101166</c:v>
                </c:pt>
                <c:pt idx="547">
                  <c:v>0.51851851851851849</c:v>
                </c:pt>
                <c:pt idx="548">
                  <c:v>0.51859649122807017</c:v>
                </c:pt>
                <c:pt idx="549">
                  <c:v>0.51945854483925546</c:v>
                </c:pt>
                <c:pt idx="550">
                  <c:v>0.52080344332855089</c:v>
                </c:pt>
                <c:pt idx="551">
                  <c:v>0.52093973442288044</c:v>
                </c:pt>
                <c:pt idx="552">
                  <c:v>0.52124891587163924</c:v>
                </c:pt>
                <c:pt idx="553">
                  <c:v>0.52153110047846896</c:v>
                </c:pt>
                <c:pt idx="554">
                  <c:v>0.52173913043478259</c:v>
                </c:pt>
                <c:pt idx="555">
                  <c:v>0.52272727272727271</c:v>
                </c:pt>
                <c:pt idx="556">
                  <c:v>0.52306425041186155</c:v>
                </c:pt>
                <c:pt idx="557">
                  <c:v>0.52314410480349349</c:v>
                </c:pt>
                <c:pt idx="558">
                  <c:v>0.52375809935205186</c:v>
                </c:pt>
                <c:pt idx="559">
                  <c:v>0.52380952380952384</c:v>
                </c:pt>
                <c:pt idx="560">
                  <c:v>0.52475247524752477</c:v>
                </c:pt>
                <c:pt idx="561">
                  <c:v>0.52478134110787178</c:v>
                </c:pt>
                <c:pt idx="562">
                  <c:v>0.5249597423510467</c:v>
                </c:pt>
                <c:pt idx="563">
                  <c:v>0.52500000000000002</c:v>
                </c:pt>
                <c:pt idx="564">
                  <c:v>0.52511961722488043</c:v>
                </c:pt>
                <c:pt idx="565">
                  <c:v>0.52517985611510798</c:v>
                </c:pt>
                <c:pt idx="566">
                  <c:v>0.52539062499999989</c:v>
                </c:pt>
                <c:pt idx="567">
                  <c:v>0.52539912917271403</c:v>
                </c:pt>
                <c:pt idx="568">
                  <c:v>0.52551724137931033</c:v>
                </c:pt>
                <c:pt idx="569">
                  <c:v>0.52598752598752596</c:v>
                </c:pt>
                <c:pt idx="570">
                  <c:v>0.52761627906976738</c:v>
                </c:pt>
                <c:pt idx="571">
                  <c:v>0.52813067150635207</c:v>
                </c:pt>
                <c:pt idx="572">
                  <c:v>0.52842809364548504</c:v>
                </c:pt>
                <c:pt idx="573">
                  <c:v>0.52950075642965211</c:v>
                </c:pt>
                <c:pt idx="574">
                  <c:v>0.5298013245033113</c:v>
                </c:pt>
                <c:pt idx="575">
                  <c:v>0.53082191780821919</c:v>
                </c:pt>
                <c:pt idx="576">
                  <c:v>0.53089005235602094</c:v>
                </c:pt>
                <c:pt idx="577">
                  <c:v>0.5308988764044944</c:v>
                </c:pt>
                <c:pt idx="578">
                  <c:v>0.5310880829015544</c:v>
                </c:pt>
                <c:pt idx="579">
                  <c:v>0.53120665742024964</c:v>
                </c:pt>
                <c:pt idx="580">
                  <c:v>0.53142857142857147</c:v>
                </c:pt>
                <c:pt idx="581">
                  <c:v>0.53154084798345391</c:v>
                </c:pt>
                <c:pt idx="582">
                  <c:v>0.53207964601769908</c:v>
                </c:pt>
                <c:pt idx="583">
                  <c:v>0.53275862068965518</c:v>
                </c:pt>
                <c:pt idx="584">
                  <c:v>0.53297682709447414</c:v>
                </c:pt>
                <c:pt idx="585">
                  <c:v>0.53421859039836561</c:v>
                </c:pt>
                <c:pt idx="586">
                  <c:v>0.53457172342621251</c:v>
                </c:pt>
                <c:pt idx="587">
                  <c:v>0.53519313304721028</c:v>
                </c:pt>
                <c:pt idx="588">
                  <c:v>0.53594080338266392</c:v>
                </c:pt>
                <c:pt idx="589">
                  <c:v>0.53642857142857137</c:v>
                </c:pt>
                <c:pt idx="590">
                  <c:v>0.53763440860215062</c:v>
                </c:pt>
                <c:pt idx="591">
                  <c:v>0.53789279112754163</c:v>
                </c:pt>
                <c:pt idx="592">
                  <c:v>0.5379213483146067</c:v>
                </c:pt>
                <c:pt idx="593">
                  <c:v>0.53810975609756095</c:v>
                </c:pt>
                <c:pt idx="594">
                  <c:v>0.53981106612685559</c:v>
                </c:pt>
                <c:pt idx="595">
                  <c:v>0.54014598540145986</c:v>
                </c:pt>
                <c:pt idx="596">
                  <c:v>0.54022988505747127</c:v>
                </c:pt>
                <c:pt idx="597">
                  <c:v>0.54027777777777775</c:v>
                </c:pt>
                <c:pt idx="598">
                  <c:v>0.54083204930662554</c:v>
                </c:pt>
                <c:pt idx="599">
                  <c:v>0.54103053435114512</c:v>
                </c:pt>
                <c:pt idx="600">
                  <c:v>0.5415986949429038</c:v>
                </c:pt>
                <c:pt idx="601">
                  <c:v>0.54199328107502798</c:v>
                </c:pt>
                <c:pt idx="602">
                  <c:v>0.54314159292035391</c:v>
                </c:pt>
                <c:pt idx="603">
                  <c:v>0.54324734446130496</c:v>
                </c:pt>
                <c:pt idx="604">
                  <c:v>0.54434782608695653</c:v>
                </c:pt>
                <c:pt idx="605">
                  <c:v>0.54519505233111321</c:v>
                </c:pt>
                <c:pt idx="606">
                  <c:v>0.54531490015360984</c:v>
                </c:pt>
                <c:pt idx="607">
                  <c:v>0.54534950895436174</c:v>
                </c:pt>
                <c:pt idx="608">
                  <c:v>0.54556213017751476</c:v>
                </c:pt>
                <c:pt idx="609">
                  <c:v>0.54587581093605186</c:v>
                </c:pt>
                <c:pt idx="610">
                  <c:v>0.54618834080717482</c:v>
                </c:pt>
                <c:pt idx="611">
                  <c:v>0.54660347551342814</c:v>
                </c:pt>
                <c:pt idx="612">
                  <c:v>0.54680365296803657</c:v>
                </c:pt>
                <c:pt idx="613">
                  <c:v>0.54682454251883739</c:v>
                </c:pt>
                <c:pt idx="614">
                  <c:v>0.54702194357366773</c:v>
                </c:pt>
                <c:pt idx="615">
                  <c:v>0.54714064914992266</c:v>
                </c:pt>
                <c:pt idx="616">
                  <c:v>0.54808686659772488</c:v>
                </c:pt>
                <c:pt idx="617">
                  <c:v>0.55000000000000004</c:v>
                </c:pt>
                <c:pt idx="618">
                  <c:v>0.55078534031413617</c:v>
                </c:pt>
                <c:pt idx="619">
                  <c:v>0.55079681274900394</c:v>
                </c:pt>
                <c:pt idx="620">
                  <c:v>0.5518617021276595</c:v>
                </c:pt>
                <c:pt idx="621">
                  <c:v>0.55226988754685546</c:v>
                </c:pt>
                <c:pt idx="622">
                  <c:v>0.55263157894736847</c:v>
                </c:pt>
                <c:pt idx="623">
                  <c:v>0.55332302936630595</c:v>
                </c:pt>
                <c:pt idx="624">
                  <c:v>0.55458937198067626</c:v>
                </c:pt>
                <c:pt idx="625">
                  <c:v>0.55487804878048785</c:v>
                </c:pt>
                <c:pt idx="626">
                  <c:v>0.55619047619047612</c:v>
                </c:pt>
                <c:pt idx="627">
                  <c:v>0.55639097744360899</c:v>
                </c:pt>
                <c:pt idx="628">
                  <c:v>0.55646576945582205</c:v>
                </c:pt>
                <c:pt idx="629">
                  <c:v>0.55654383735705204</c:v>
                </c:pt>
                <c:pt idx="630">
                  <c:v>0.55745721271393645</c:v>
                </c:pt>
                <c:pt idx="631">
                  <c:v>0.55762081784386619</c:v>
                </c:pt>
                <c:pt idx="632">
                  <c:v>0.55809128630705385</c:v>
                </c:pt>
                <c:pt idx="633">
                  <c:v>0.55809334657398213</c:v>
                </c:pt>
                <c:pt idx="634">
                  <c:v>0.55897435897435899</c:v>
                </c:pt>
                <c:pt idx="635">
                  <c:v>0.55991041433370659</c:v>
                </c:pt>
                <c:pt idx="636">
                  <c:v>0.56026365348399243</c:v>
                </c:pt>
                <c:pt idx="637">
                  <c:v>0.56040892193308556</c:v>
                </c:pt>
                <c:pt idx="638">
                  <c:v>0.56107249255213509</c:v>
                </c:pt>
                <c:pt idx="639">
                  <c:v>0.56156968876860613</c:v>
                </c:pt>
                <c:pt idx="640">
                  <c:v>0.56185155626496419</c:v>
                </c:pt>
                <c:pt idx="641">
                  <c:v>0.56198347107438018</c:v>
                </c:pt>
                <c:pt idx="642">
                  <c:v>0.56217882836587874</c:v>
                </c:pt>
                <c:pt idx="643">
                  <c:v>0.56233183856502245</c:v>
                </c:pt>
                <c:pt idx="644">
                  <c:v>0.56240601503759391</c:v>
                </c:pt>
                <c:pt idx="645">
                  <c:v>0.56321839080459768</c:v>
                </c:pt>
                <c:pt idx="646">
                  <c:v>0.56325823223570193</c:v>
                </c:pt>
                <c:pt idx="647">
                  <c:v>0.56350626118067981</c:v>
                </c:pt>
                <c:pt idx="648">
                  <c:v>0.5638977635782747</c:v>
                </c:pt>
                <c:pt idx="649">
                  <c:v>0.56399999999999995</c:v>
                </c:pt>
                <c:pt idx="650">
                  <c:v>0.5644699140401146</c:v>
                </c:pt>
                <c:pt idx="651">
                  <c:v>0.56463195691202872</c:v>
                </c:pt>
                <c:pt idx="652">
                  <c:v>0.5647840531561461</c:v>
                </c:pt>
                <c:pt idx="653">
                  <c:v>0.56538839724680434</c:v>
                </c:pt>
                <c:pt idx="654">
                  <c:v>0.56553755522827676</c:v>
                </c:pt>
                <c:pt idx="655">
                  <c:v>0.56605284227381902</c:v>
                </c:pt>
                <c:pt idx="656">
                  <c:v>0.5663716814159292</c:v>
                </c:pt>
                <c:pt idx="657">
                  <c:v>0.56660039761431413</c:v>
                </c:pt>
                <c:pt idx="658">
                  <c:v>0.56670113753877971</c:v>
                </c:pt>
                <c:pt idx="659">
                  <c:v>0.5668016194331984</c:v>
                </c:pt>
                <c:pt idx="660">
                  <c:v>0.56692913385826771</c:v>
                </c:pt>
                <c:pt idx="661">
                  <c:v>0.56720827178729682</c:v>
                </c:pt>
                <c:pt idx="662">
                  <c:v>0.56738925541941565</c:v>
                </c:pt>
                <c:pt idx="663">
                  <c:v>0.56767676767676767</c:v>
                </c:pt>
                <c:pt idx="664">
                  <c:v>0.56788990825688068</c:v>
                </c:pt>
                <c:pt idx="665">
                  <c:v>0.5679156908665105</c:v>
                </c:pt>
                <c:pt idx="666">
                  <c:v>0.56799999999999995</c:v>
                </c:pt>
                <c:pt idx="667">
                  <c:v>0.5682492581602373</c:v>
                </c:pt>
                <c:pt idx="668">
                  <c:v>0.56825396825396823</c:v>
                </c:pt>
                <c:pt idx="669">
                  <c:v>0.56866197183098588</c:v>
                </c:pt>
                <c:pt idx="670">
                  <c:v>0.56914893617021278</c:v>
                </c:pt>
                <c:pt idx="671">
                  <c:v>0.56934931506849318</c:v>
                </c:pt>
                <c:pt idx="672">
                  <c:v>0.56934931506849318</c:v>
                </c:pt>
                <c:pt idx="673">
                  <c:v>0.56964285714285712</c:v>
                </c:pt>
                <c:pt idx="674">
                  <c:v>0.57041540020263415</c:v>
                </c:pt>
                <c:pt idx="675">
                  <c:v>0.57042253521126762</c:v>
                </c:pt>
                <c:pt idx="676">
                  <c:v>0.57117437722419928</c:v>
                </c:pt>
                <c:pt idx="677">
                  <c:v>0.57124352331606221</c:v>
                </c:pt>
                <c:pt idx="678">
                  <c:v>0.57128614157527413</c:v>
                </c:pt>
                <c:pt idx="679">
                  <c:v>0.57142857142857151</c:v>
                </c:pt>
                <c:pt idx="680">
                  <c:v>0.57192982456140351</c:v>
                </c:pt>
                <c:pt idx="681">
                  <c:v>0.57205882352941173</c:v>
                </c:pt>
                <c:pt idx="682">
                  <c:v>0.57209302325581401</c:v>
                </c:pt>
                <c:pt idx="683">
                  <c:v>0.57253384912959382</c:v>
                </c:pt>
                <c:pt idx="684">
                  <c:v>0.57336108220603543</c:v>
                </c:pt>
                <c:pt idx="685">
                  <c:v>0.57433628318584073</c:v>
                </c:pt>
                <c:pt idx="686">
                  <c:v>0.5744540039708802</c:v>
                </c:pt>
                <c:pt idx="687">
                  <c:v>0.57446808510638292</c:v>
                </c:pt>
                <c:pt idx="688">
                  <c:v>0.57466666666666666</c:v>
                </c:pt>
                <c:pt idx="689">
                  <c:v>0.57491289198606277</c:v>
                </c:pt>
                <c:pt idx="690">
                  <c:v>0.57534246575342463</c:v>
                </c:pt>
                <c:pt idx="691">
                  <c:v>0.57553956834532372</c:v>
                </c:pt>
                <c:pt idx="692">
                  <c:v>0.57610993657505294</c:v>
                </c:pt>
                <c:pt idx="693">
                  <c:v>0.57629107981220662</c:v>
                </c:pt>
                <c:pt idx="694">
                  <c:v>0.57644628099173556</c:v>
                </c:pt>
                <c:pt idx="695">
                  <c:v>0.57692307692307687</c:v>
                </c:pt>
                <c:pt idx="696">
                  <c:v>0.57731958762886593</c:v>
                </c:pt>
                <c:pt idx="697">
                  <c:v>0.57889447236180902</c:v>
                </c:pt>
                <c:pt idx="698">
                  <c:v>0.57961783439490444</c:v>
                </c:pt>
                <c:pt idx="699">
                  <c:v>0.57974910394265233</c:v>
                </c:pt>
                <c:pt idx="700">
                  <c:v>0.58023952095808384</c:v>
                </c:pt>
                <c:pt idx="701">
                  <c:v>0.58046614872364044</c:v>
                </c:pt>
                <c:pt idx="702">
                  <c:v>0.58072696534235002</c:v>
                </c:pt>
                <c:pt idx="703">
                  <c:v>0.58082706766917291</c:v>
                </c:pt>
                <c:pt idx="704">
                  <c:v>0.58088235294117652</c:v>
                </c:pt>
                <c:pt idx="705">
                  <c:v>0.58113730929264917</c:v>
                </c:pt>
                <c:pt idx="706">
                  <c:v>0.58136924803591472</c:v>
                </c:pt>
                <c:pt idx="707">
                  <c:v>0.58189977561705308</c:v>
                </c:pt>
                <c:pt idx="708">
                  <c:v>0.58210947930574097</c:v>
                </c:pt>
                <c:pt idx="709">
                  <c:v>0.5821917808219178</c:v>
                </c:pt>
                <c:pt idx="710">
                  <c:v>0.58227848101265822</c:v>
                </c:pt>
                <c:pt idx="711">
                  <c:v>0.58320839580209893</c:v>
                </c:pt>
                <c:pt idx="712">
                  <c:v>0.58499413833528724</c:v>
                </c:pt>
                <c:pt idx="713">
                  <c:v>0.58600583090379021</c:v>
                </c:pt>
                <c:pt idx="714">
                  <c:v>0.5868302130406714</c:v>
                </c:pt>
                <c:pt idx="715">
                  <c:v>0.58710801393728229</c:v>
                </c:pt>
                <c:pt idx="716">
                  <c:v>0.58725099601593633</c:v>
                </c:pt>
                <c:pt idx="717">
                  <c:v>0.58751902587519023</c:v>
                </c:pt>
                <c:pt idx="718">
                  <c:v>0.58778625954198471</c:v>
                </c:pt>
                <c:pt idx="719">
                  <c:v>0.58870967741935487</c:v>
                </c:pt>
                <c:pt idx="720">
                  <c:v>0.58873239436619718</c:v>
                </c:pt>
                <c:pt idx="721">
                  <c:v>0.58904109589041098</c:v>
                </c:pt>
                <c:pt idx="722">
                  <c:v>0.58909444985394355</c:v>
                </c:pt>
                <c:pt idx="723">
                  <c:v>0.5893886966551326</c:v>
                </c:pt>
                <c:pt idx="724">
                  <c:v>0.58962962962962961</c:v>
                </c:pt>
                <c:pt idx="725">
                  <c:v>0.58989598811292721</c:v>
                </c:pt>
                <c:pt idx="726">
                  <c:v>0.59037558685446001</c:v>
                </c:pt>
                <c:pt idx="727">
                  <c:v>0.59043659043659036</c:v>
                </c:pt>
                <c:pt idx="728">
                  <c:v>0.59095860566448799</c:v>
                </c:pt>
                <c:pt idx="729">
                  <c:v>0.59163987138263674</c:v>
                </c:pt>
                <c:pt idx="730">
                  <c:v>0.59166666666666667</c:v>
                </c:pt>
                <c:pt idx="731">
                  <c:v>0.59172019985724489</c:v>
                </c:pt>
                <c:pt idx="732">
                  <c:v>0.59183673469387754</c:v>
                </c:pt>
                <c:pt idx="733">
                  <c:v>0.59230769230769231</c:v>
                </c:pt>
                <c:pt idx="734">
                  <c:v>0.59253945480631265</c:v>
                </c:pt>
                <c:pt idx="735">
                  <c:v>0.59259259259259256</c:v>
                </c:pt>
                <c:pt idx="736">
                  <c:v>0.5929978118161926</c:v>
                </c:pt>
                <c:pt idx="737">
                  <c:v>0.59332191780821919</c:v>
                </c:pt>
                <c:pt idx="738">
                  <c:v>0.59400544959128065</c:v>
                </c:pt>
                <c:pt idx="739">
                  <c:v>0.59464285714285714</c:v>
                </c:pt>
                <c:pt idx="740">
                  <c:v>0.59466666666666668</c:v>
                </c:pt>
                <c:pt idx="741">
                  <c:v>0.59512761020881666</c:v>
                </c:pt>
                <c:pt idx="742">
                  <c:v>0.5958149779735683</c:v>
                </c:pt>
                <c:pt idx="743">
                  <c:v>0.59583333333333333</c:v>
                </c:pt>
                <c:pt idx="744">
                  <c:v>0.59587955625990496</c:v>
                </c:pt>
                <c:pt idx="745">
                  <c:v>0.59620148637489678</c:v>
                </c:pt>
                <c:pt idx="746">
                  <c:v>0.59624217118997913</c:v>
                </c:pt>
                <c:pt idx="747">
                  <c:v>0.59644970414201182</c:v>
                </c:pt>
                <c:pt idx="748">
                  <c:v>0.59692307692307689</c:v>
                </c:pt>
                <c:pt idx="749">
                  <c:v>0.59713375796178347</c:v>
                </c:pt>
                <c:pt idx="750">
                  <c:v>0.59769167353668595</c:v>
                </c:pt>
                <c:pt idx="751">
                  <c:v>0.59788359788359779</c:v>
                </c:pt>
                <c:pt idx="752">
                  <c:v>0.59818181818181815</c:v>
                </c:pt>
                <c:pt idx="753">
                  <c:v>0.59847660500544064</c:v>
                </c:pt>
                <c:pt idx="754">
                  <c:v>0.59850107066381153</c:v>
                </c:pt>
                <c:pt idx="755">
                  <c:v>0.5993031358885017</c:v>
                </c:pt>
                <c:pt idx="756">
                  <c:v>0.59940431868950106</c:v>
                </c:pt>
                <c:pt idx="757">
                  <c:v>0.59976105137395463</c:v>
                </c:pt>
                <c:pt idx="758">
                  <c:v>0.6</c:v>
                </c:pt>
                <c:pt idx="759">
                  <c:v>0.6</c:v>
                </c:pt>
                <c:pt idx="760">
                  <c:v>0.60024009603841544</c:v>
                </c:pt>
                <c:pt idx="761">
                  <c:v>0.60080321285140559</c:v>
                </c:pt>
                <c:pt idx="762">
                  <c:v>0.60112359550561789</c:v>
                </c:pt>
                <c:pt idx="763">
                  <c:v>0.60171306209850106</c:v>
                </c:pt>
                <c:pt idx="764">
                  <c:v>0.60186915887850467</c:v>
                </c:pt>
                <c:pt idx="765">
                  <c:v>0.6028368794326241</c:v>
                </c:pt>
                <c:pt idx="766">
                  <c:v>0.6034031413612565</c:v>
                </c:pt>
                <c:pt idx="767">
                  <c:v>0.60392156862745094</c:v>
                </c:pt>
                <c:pt idx="768">
                  <c:v>0.60450997398091944</c:v>
                </c:pt>
                <c:pt idx="769">
                  <c:v>0.60460992907801425</c:v>
                </c:pt>
                <c:pt idx="770">
                  <c:v>0.60462130937098846</c:v>
                </c:pt>
                <c:pt idx="771">
                  <c:v>0.60470085470085477</c:v>
                </c:pt>
                <c:pt idx="772">
                  <c:v>0.60534846029173417</c:v>
                </c:pt>
                <c:pt idx="773">
                  <c:v>0.60535714285714282</c:v>
                </c:pt>
                <c:pt idx="774">
                  <c:v>0.60548722800378429</c:v>
                </c:pt>
                <c:pt idx="775">
                  <c:v>0.60563380281690138</c:v>
                </c:pt>
                <c:pt idx="776">
                  <c:v>0.60646387832699611</c:v>
                </c:pt>
                <c:pt idx="777">
                  <c:v>0.60658307210031359</c:v>
                </c:pt>
                <c:pt idx="778">
                  <c:v>0.60691823899371067</c:v>
                </c:pt>
                <c:pt idx="779">
                  <c:v>0.60767790262172294</c:v>
                </c:pt>
                <c:pt idx="780">
                  <c:v>0.60820895522388063</c:v>
                </c:pt>
                <c:pt idx="781">
                  <c:v>0.60899437851342908</c:v>
                </c:pt>
                <c:pt idx="782">
                  <c:v>0.60902977905859756</c:v>
                </c:pt>
                <c:pt idx="783">
                  <c:v>0.61068702290076338</c:v>
                </c:pt>
                <c:pt idx="784">
                  <c:v>0.61237113402061849</c:v>
                </c:pt>
                <c:pt idx="785">
                  <c:v>0.61262959472196044</c:v>
                </c:pt>
                <c:pt idx="786">
                  <c:v>0.61286681715575619</c:v>
                </c:pt>
                <c:pt idx="787">
                  <c:v>0.61415929203539832</c:v>
                </c:pt>
                <c:pt idx="788">
                  <c:v>0.61534947464595702</c:v>
                </c:pt>
                <c:pt idx="789">
                  <c:v>0.61591695501730104</c:v>
                </c:pt>
                <c:pt idx="790">
                  <c:v>0.61605316973415136</c:v>
                </c:pt>
                <c:pt idx="791">
                  <c:v>0.61619047619047618</c:v>
                </c:pt>
                <c:pt idx="792">
                  <c:v>0.61630434782608701</c:v>
                </c:pt>
                <c:pt idx="793">
                  <c:v>0.61636363636363634</c:v>
                </c:pt>
                <c:pt idx="794">
                  <c:v>0.61647361647361643</c:v>
                </c:pt>
                <c:pt idx="795">
                  <c:v>0.61649214659685858</c:v>
                </c:pt>
                <c:pt idx="796">
                  <c:v>0.61730319563522995</c:v>
                </c:pt>
                <c:pt idx="797">
                  <c:v>0.61754068716094035</c:v>
                </c:pt>
                <c:pt idx="798">
                  <c:v>0.61754385964912284</c:v>
                </c:pt>
                <c:pt idx="799">
                  <c:v>0.61757719714964365</c:v>
                </c:pt>
                <c:pt idx="800">
                  <c:v>0.6183035714285714</c:v>
                </c:pt>
                <c:pt idx="801">
                  <c:v>0.61914672216441213</c:v>
                </c:pt>
                <c:pt idx="802">
                  <c:v>0.61946133796698521</c:v>
                </c:pt>
                <c:pt idx="803">
                  <c:v>0.61957868649318459</c:v>
                </c:pt>
                <c:pt idx="804">
                  <c:v>0.62059103908484259</c:v>
                </c:pt>
                <c:pt idx="805">
                  <c:v>0.62127659574468086</c:v>
                </c:pt>
                <c:pt idx="806">
                  <c:v>0.62181818181818183</c:v>
                </c:pt>
                <c:pt idx="807">
                  <c:v>0.62234042553191482</c:v>
                </c:pt>
                <c:pt idx="808">
                  <c:v>0.62241379310344835</c:v>
                </c:pt>
                <c:pt idx="809">
                  <c:v>0.62290502793296099</c:v>
                </c:pt>
                <c:pt idx="810">
                  <c:v>0.62332928311057112</c:v>
                </c:pt>
                <c:pt idx="811">
                  <c:v>0.62400793650793651</c:v>
                </c:pt>
                <c:pt idx="812">
                  <c:v>0.62402669632925467</c:v>
                </c:pt>
                <c:pt idx="813">
                  <c:v>0.62458100558659213</c:v>
                </c:pt>
                <c:pt idx="814">
                  <c:v>0.62459016393442623</c:v>
                </c:pt>
                <c:pt idx="815">
                  <c:v>0.62472647702407003</c:v>
                </c:pt>
                <c:pt idx="816">
                  <c:v>0.62487757100881491</c:v>
                </c:pt>
                <c:pt idx="817">
                  <c:v>0.62512266928361138</c:v>
                </c:pt>
                <c:pt idx="818">
                  <c:v>0.62612244897959191</c:v>
                </c:pt>
                <c:pt idx="819">
                  <c:v>0.6262626262626263</c:v>
                </c:pt>
                <c:pt idx="820">
                  <c:v>0.62637362637362637</c:v>
                </c:pt>
                <c:pt idx="821">
                  <c:v>0.62641509433962261</c:v>
                </c:pt>
                <c:pt idx="822">
                  <c:v>0.62702702702702706</c:v>
                </c:pt>
                <c:pt idx="823">
                  <c:v>0.62715368711233632</c:v>
                </c:pt>
                <c:pt idx="824">
                  <c:v>0.6271929824561403</c:v>
                </c:pt>
                <c:pt idx="825">
                  <c:v>0.62797927461139902</c:v>
                </c:pt>
                <c:pt idx="826">
                  <c:v>0.62918080465341741</c:v>
                </c:pt>
                <c:pt idx="827">
                  <c:v>0.63005780346820806</c:v>
                </c:pt>
                <c:pt idx="828">
                  <c:v>0.63021316033364227</c:v>
                </c:pt>
                <c:pt idx="829">
                  <c:v>0.63033707865168542</c:v>
                </c:pt>
                <c:pt idx="830">
                  <c:v>0.63046757164404221</c:v>
                </c:pt>
                <c:pt idx="831">
                  <c:v>0.63067292644757433</c:v>
                </c:pt>
                <c:pt idx="832">
                  <c:v>0.6307588075880759</c:v>
                </c:pt>
                <c:pt idx="833">
                  <c:v>0.63078703703703698</c:v>
                </c:pt>
                <c:pt idx="834">
                  <c:v>0.63093415007656972</c:v>
                </c:pt>
                <c:pt idx="835">
                  <c:v>0.63192376414532458</c:v>
                </c:pt>
                <c:pt idx="836">
                  <c:v>0.63232682060390766</c:v>
                </c:pt>
                <c:pt idx="837">
                  <c:v>0.63237774030354132</c:v>
                </c:pt>
                <c:pt idx="838">
                  <c:v>0.63253012048192769</c:v>
                </c:pt>
                <c:pt idx="839">
                  <c:v>0.63269639065817407</c:v>
                </c:pt>
                <c:pt idx="840">
                  <c:v>0.63283318623124452</c:v>
                </c:pt>
                <c:pt idx="841">
                  <c:v>0.6328800988875154</c:v>
                </c:pt>
                <c:pt idx="842">
                  <c:v>0.633672525439408</c:v>
                </c:pt>
                <c:pt idx="843">
                  <c:v>0.63432073544433087</c:v>
                </c:pt>
                <c:pt idx="844">
                  <c:v>0.63459335624284074</c:v>
                </c:pt>
                <c:pt idx="845">
                  <c:v>0.63505402160864344</c:v>
                </c:pt>
                <c:pt idx="846">
                  <c:v>0.63548387096774195</c:v>
                </c:pt>
                <c:pt idx="847">
                  <c:v>0.63703703703703696</c:v>
                </c:pt>
                <c:pt idx="848">
                  <c:v>0.63727678571428581</c:v>
                </c:pt>
                <c:pt idx="849">
                  <c:v>0.63738508682328898</c:v>
                </c:pt>
                <c:pt idx="850">
                  <c:v>0.63768115942028991</c:v>
                </c:pt>
                <c:pt idx="851">
                  <c:v>0.63774912075029311</c:v>
                </c:pt>
                <c:pt idx="852">
                  <c:v>0.63832335329341316</c:v>
                </c:pt>
                <c:pt idx="853">
                  <c:v>0.63867924528301889</c:v>
                </c:pt>
                <c:pt idx="854">
                  <c:v>0.63905325443786987</c:v>
                </c:pt>
                <c:pt idx="855">
                  <c:v>0.6395089285714286</c:v>
                </c:pt>
                <c:pt idx="856">
                  <c:v>0.63955342902711321</c:v>
                </c:pt>
                <c:pt idx="857">
                  <c:v>0.63959390862944165</c:v>
                </c:pt>
                <c:pt idx="858">
                  <c:v>0.63985594237695076</c:v>
                </c:pt>
                <c:pt idx="859">
                  <c:v>0.64005412719891741</c:v>
                </c:pt>
                <c:pt idx="860">
                  <c:v>0.64022662889518422</c:v>
                </c:pt>
                <c:pt idx="861">
                  <c:v>0.64085447263017348</c:v>
                </c:pt>
                <c:pt idx="862">
                  <c:v>0.64090909090909087</c:v>
                </c:pt>
                <c:pt idx="863">
                  <c:v>0.64095238095238094</c:v>
                </c:pt>
                <c:pt idx="864">
                  <c:v>0.64148527528809229</c:v>
                </c:pt>
                <c:pt idx="865">
                  <c:v>0.6422558922558923</c:v>
                </c:pt>
                <c:pt idx="866">
                  <c:v>0.64230343300110748</c:v>
                </c:pt>
                <c:pt idx="867">
                  <c:v>0.64238410596026485</c:v>
                </c:pt>
                <c:pt idx="868">
                  <c:v>0.64255677039529013</c:v>
                </c:pt>
                <c:pt idx="869">
                  <c:v>0.64266900790166814</c:v>
                </c:pt>
                <c:pt idx="870">
                  <c:v>0.64294954721862874</c:v>
                </c:pt>
                <c:pt idx="871">
                  <c:v>0.64364035087719296</c:v>
                </c:pt>
                <c:pt idx="872">
                  <c:v>0.64393939393939392</c:v>
                </c:pt>
                <c:pt idx="873">
                  <c:v>0.64516129032258074</c:v>
                </c:pt>
                <c:pt idx="874">
                  <c:v>0.64520958083832336</c:v>
                </c:pt>
                <c:pt idx="875">
                  <c:v>0.6452648475120385</c:v>
                </c:pt>
                <c:pt idx="876">
                  <c:v>0.64534336782690493</c:v>
                </c:pt>
                <c:pt idx="877">
                  <c:v>0.6455542021924483</c:v>
                </c:pt>
                <c:pt idx="878">
                  <c:v>0.64583333333333326</c:v>
                </c:pt>
                <c:pt idx="879">
                  <c:v>0.64623467600700524</c:v>
                </c:pt>
                <c:pt idx="880">
                  <c:v>0.6470588235294118</c:v>
                </c:pt>
                <c:pt idx="881">
                  <c:v>0.64737793851717895</c:v>
                </c:pt>
                <c:pt idx="882">
                  <c:v>0.64749340369393138</c:v>
                </c:pt>
                <c:pt idx="883">
                  <c:v>0.64792176039119809</c:v>
                </c:pt>
                <c:pt idx="884">
                  <c:v>0.64820512820512821</c:v>
                </c:pt>
                <c:pt idx="885">
                  <c:v>0.64912280701754388</c:v>
                </c:pt>
                <c:pt idx="886">
                  <c:v>0.64935064935064934</c:v>
                </c:pt>
                <c:pt idx="887">
                  <c:v>0.64948453608247414</c:v>
                </c:pt>
                <c:pt idx="888">
                  <c:v>0.64954128440366965</c:v>
                </c:pt>
                <c:pt idx="889">
                  <c:v>0.64955752212389384</c:v>
                </c:pt>
                <c:pt idx="890">
                  <c:v>0.65024630541871919</c:v>
                </c:pt>
                <c:pt idx="891">
                  <c:v>0.65025252525252519</c:v>
                </c:pt>
                <c:pt idx="892">
                  <c:v>0.65032444124008659</c:v>
                </c:pt>
                <c:pt idx="893">
                  <c:v>0.65102974828375282</c:v>
                </c:pt>
                <c:pt idx="894">
                  <c:v>0.65206185567010311</c:v>
                </c:pt>
                <c:pt idx="895">
                  <c:v>0.65255731922398585</c:v>
                </c:pt>
                <c:pt idx="896">
                  <c:v>0.65275459098497501</c:v>
                </c:pt>
                <c:pt idx="897">
                  <c:v>0.65361803084223014</c:v>
                </c:pt>
                <c:pt idx="898">
                  <c:v>0.65423728813559323</c:v>
                </c:pt>
                <c:pt idx="899">
                  <c:v>0.654485049833887</c:v>
                </c:pt>
                <c:pt idx="900">
                  <c:v>0.65517241379310354</c:v>
                </c:pt>
                <c:pt idx="901">
                  <c:v>0.65535714285714286</c:v>
                </c:pt>
                <c:pt idx="902">
                  <c:v>0.6557191392978482</c:v>
                </c:pt>
                <c:pt idx="903">
                  <c:v>0.65592972181551978</c:v>
                </c:pt>
                <c:pt idx="904">
                  <c:v>0.65597920277296362</c:v>
                </c:pt>
                <c:pt idx="905">
                  <c:v>0.65625</c:v>
                </c:pt>
                <c:pt idx="906">
                  <c:v>0.65625</c:v>
                </c:pt>
                <c:pt idx="907">
                  <c:v>0.65627319970304387</c:v>
                </c:pt>
                <c:pt idx="908">
                  <c:v>0.65661861074705119</c:v>
                </c:pt>
                <c:pt idx="909">
                  <c:v>0.65670103092783505</c:v>
                </c:pt>
                <c:pt idx="910">
                  <c:v>0.65799739921976585</c:v>
                </c:pt>
                <c:pt idx="911">
                  <c:v>0.65816326530612246</c:v>
                </c:pt>
                <c:pt idx="912">
                  <c:v>0.65881032547699225</c:v>
                </c:pt>
                <c:pt idx="913">
                  <c:v>0.65895249695493308</c:v>
                </c:pt>
                <c:pt idx="914">
                  <c:v>0.65905848787446519</c:v>
                </c:pt>
                <c:pt idx="915">
                  <c:v>0.65909090909090906</c:v>
                </c:pt>
                <c:pt idx="916">
                  <c:v>0.65915915915915924</c:v>
                </c:pt>
                <c:pt idx="917">
                  <c:v>0.65923282783229264</c:v>
                </c:pt>
                <c:pt idx="918">
                  <c:v>0.65953109072375138</c:v>
                </c:pt>
                <c:pt idx="919">
                  <c:v>0.66014234875444844</c:v>
                </c:pt>
                <c:pt idx="920">
                  <c:v>0.66089108910891092</c:v>
                </c:pt>
                <c:pt idx="921">
                  <c:v>0.66155988857938719</c:v>
                </c:pt>
                <c:pt idx="922">
                  <c:v>0.66185318892900125</c:v>
                </c:pt>
                <c:pt idx="923">
                  <c:v>0.66203059805285114</c:v>
                </c:pt>
                <c:pt idx="924">
                  <c:v>0.6620530565167243</c:v>
                </c:pt>
                <c:pt idx="925">
                  <c:v>0.66225165562913901</c:v>
                </c:pt>
                <c:pt idx="926">
                  <c:v>0.66225165562913912</c:v>
                </c:pt>
                <c:pt idx="927">
                  <c:v>0.66246498599439763</c:v>
                </c:pt>
                <c:pt idx="928">
                  <c:v>0.66362252663622523</c:v>
                </c:pt>
                <c:pt idx="929">
                  <c:v>0.66362599771949826</c:v>
                </c:pt>
                <c:pt idx="930">
                  <c:v>0.66442953020134232</c:v>
                </c:pt>
                <c:pt idx="931">
                  <c:v>0.66533864541832677</c:v>
                </c:pt>
                <c:pt idx="932">
                  <c:v>0.66584463625154133</c:v>
                </c:pt>
                <c:pt idx="933">
                  <c:v>0.66731517509727623</c:v>
                </c:pt>
                <c:pt idx="934">
                  <c:v>0.66739367502726288</c:v>
                </c:pt>
                <c:pt idx="935">
                  <c:v>0.66779661016949154</c:v>
                </c:pt>
                <c:pt idx="936">
                  <c:v>0.66802168021680219</c:v>
                </c:pt>
                <c:pt idx="937">
                  <c:v>0.66806722689075626</c:v>
                </c:pt>
                <c:pt idx="938">
                  <c:v>0.66810810810810806</c:v>
                </c:pt>
                <c:pt idx="939">
                  <c:v>0.66815003178639532</c:v>
                </c:pt>
                <c:pt idx="940">
                  <c:v>0.66833333333333333</c:v>
                </c:pt>
                <c:pt idx="941">
                  <c:v>0.66911764705882359</c:v>
                </c:pt>
                <c:pt idx="942">
                  <c:v>0.66945996275605213</c:v>
                </c:pt>
                <c:pt idx="943">
                  <c:v>0.67023172905525852</c:v>
                </c:pt>
                <c:pt idx="944">
                  <c:v>0.67030965391621122</c:v>
                </c:pt>
                <c:pt idx="945">
                  <c:v>0.67067669172932332</c:v>
                </c:pt>
                <c:pt idx="946">
                  <c:v>0.67153284671532854</c:v>
                </c:pt>
                <c:pt idx="947">
                  <c:v>0.67185628742514969</c:v>
                </c:pt>
                <c:pt idx="948">
                  <c:v>0.67206040992448757</c:v>
                </c:pt>
                <c:pt idx="949">
                  <c:v>0.67246673490276354</c:v>
                </c:pt>
                <c:pt idx="950">
                  <c:v>0.67278617710583155</c:v>
                </c:pt>
                <c:pt idx="951">
                  <c:v>0.67304347826086963</c:v>
                </c:pt>
                <c:pt idx="952">
                  <c:v>0.67321867321867312</c:v>
                </c:pt>
                <c:pt idx="953">
                  <c:v>0.67377201112140872</c:v>
                </c:pt>
                <c:pt idx="954">
                  <c:v>0.67380136986301375</c:v>
                </c:pt>
                <c:pt idx="955">
                  <c:v>0.67405063291139244</c:v>
                </c:pt>
                <c:pt idx="956">
                  <c:v>0.67412935323383083</c:v>
                </c:pt>
                <c:pt idx="957">
                  <c:v>0.67421790722761599</c:v>
                </c:pt>
                <c:pt idx="958">
                  <c:v>0.67441860465116288</c:v>
                </c:pt>
                <c:pt idx="959">
                  <c:v>0.67441860465116288</c:v>
                </c:pt>
                <c:pt idx="960">
                  <c:v>0.67512690355329952</c:v>
                </c:pt>
                <c:pt idx="961">
                  <c:v>0.6752232142857143</c:v>
                </c:pt>
                <c:pt idx="962">
                  <c:v>0.67594936708860753</c:v>
                </c:pt>
                <c:pt idx="963">
                  <c:v>0.67596899224806206</c:v>
                </c:pt>
                <c:pt idx="964">
                  <c:v>0.67613326051338063</c:v>
                </c:pt>
                <c:pt idx="965">
                  <c:v>0.6762589928057553</c:v>
                </c:pt>
                <c:pt idx="966">
                  <c:v>0.67732962447844225</c:v>
                </c:pt>
                <c:pt idx="967">
                  <c:v>0.67796610169491522</c:v>
                </c:pt>
                <c:pt idx="968">
                  <c:v>0.67821782178217827</c:v>
                </c:pt>
                <c:pt idx="969">
                  <c:v>0.67853107344632768</c:v>
                </c:pt>
                <c:pt idx="970">
                  <c:v>0.67900302114803623</c:v>
                </c:pt>
                <c:pt idx="971">
                  <c:v>0.68011958146487284</c:v>
                </c:pt>
                <c:pt idx="972">
                  <c:v>0.6802631578947369</c:v>
                </c:pt>
                <c:pt idx="973">
                  <c:v>0.68049155145929341</c:v>
                </c:pt>
                <c:pt idx="974">
                  <c:v>0.68108974358974361</c:v>
                </c:pt>
                <c:pt idx="975">
                  <c:v>0.68211920529801329</c:v>
                </c:pt>
                <c:pt idx="976">
                  <c:v>0.68239795918367341</c:v>
                </c:pt>
                <c:pt idx="977">
                  <c:v>0.68245614035087721</c:v>
                </c:pt>
                <c:pt idx="978">
                  <c:v>0.68331922099915332</c:v>
                </c:pt>
                <c:pt idx="979">
                  <c:v>0.68333333333333335</c:v>
                </c:pt>
                <c:pt idx="980">
                  <c:v>0.68359700249791844</c:v>
                </c:pt>
                <c:pt idx="981">
                  <c:v>0.68365553602811946</c:v>
                </c:pt>
                <c:pt idx="982">
                  <c:v>0.68396226415094341</c:v>
                </c:pt>
                <c:pt idx="983">
                  <c:v>0.68407310704960844</c:v>
                </c:pt>
                <c:pt idx="984">
                  <c:v>0.68421052631578938</c:v>
                </c:pt>
                <c:pt idx="985">
                  <c:v>0.68497109826589586</c:v>
                </c:pt>
                <c:pt idx="986">
                  <c:v>0.68639053254437865</c:v>
                </c:pt>
                <c:pt idx="987">
                  <c:v>0.68639887244538411</c:v>
                </c:pt>
                <c:pt idx="988">
                  <c:v>0.68673565380997181</c:v>
                </c:pt>
                <c:pt idx="989">
                  <c:v>0.6868198307134219</c:v>
                </c:pt>
                <c:pt idx="990">
                  <c:v>0.68715846994535512</c:v>
                </c:pt>
                <c:pt idx="991">
                  <c:v>0.68731563421828912</c:v>
                </c:pt>
                <c:pt idx="992">
                  <c:v>0.68776371308016881</c:v>
                </c:pt>
                <c:pt idx="993">
                  <c:v>0.68781725888324874</c:v>
                </c:pt>
                <c:pt idx="994">
                  <c:v>0.68825910931174095</c:v>
                </c:pt>
                <c:pt idx="995">
                  <c:v>0.68850267379679142</c:v>
                </c:pt>
                <c:pt idx="996">
                  <c:v>0.68855368234250214</c:v>
                </c:pt>
                <c:pt idx="997">
                  <c:v>0.68888888888888888</c:v>
                </c:pt>
                <c:pt idx="998">
                  <c:v>0.68990825688073398</c:v>
                </c:pt>
                <c:pt idx="999">
                  <c:v>0.69031141868512114</c:v>
                </c:pt>
                <c:pt idx="1000">
                  <c:v>0.69117647058823539</c:v>
                </c:pt>
                <c:pt idx="1001">
                  <c:v>0.69158878504672883</c:v>
                </c:pt>
                <c:pt idx="1002">
                  <c:v>0.69169510807736057</c:v>
                </c:pt>
                <c:pt idx="1003">
                  <c:v>0.69193154034229831</c:v>
                </c:pt>
                <c:pt idx="1004">
                  <c:v>0.69203849518810145</c:v>
                </c:pt>
                <c:pt idx="1005">
                  <c:v>0.69204927211646139</c:v>
                </c:pt>
                <c:pt idx="1006">
                  <c:v>0.69344042838018738</c:v>
                </c:pt>
                <c:pt idx="1007">
                  <c:v>0.69489559164733172</c:v>
                </c:pt>
                <c:pt idx="1008">
                  <c:v>0.69521410579345089</c:v>
                </c:pt>
                <c:pt idx="1009">
                  <c:v>0.69580022701475597</c:v>
                </c:pt>
                <c:pt idx="1010">
                  <c:v>0.69582992641046604</c:v>
                </c:pt>
                <c:pt idx="1011">
                  <c:v>0.69668246445497639</c:v>
                </c:pt>
                <c:pt idx="1012">
                  <c:v>0.69699812382739212</c:v>
                </c:pt>
                <c:pt idx="1013">
                  <c:v>0.69709543568464727</c:v>
                </c:pt>
                <c:pt idx="1014">
                  <c:v>0.6973564266180492</c:v>
                </c:pt>
                <c:pt idx="1015">
                  <c:v>0.69806763285024154</c:v>
                </c:pt>
                <c:pt idx="1016">
                  <c:v>0.69982547993019206</c:v>
                </c:pt>
                <c:pt idx="1017">
                  <c:v>0.7</c:v>
                </c:pt>
                <c:pt idx="1018">
                  <c:v>0.70019342359767889</c:v>
                </c:pt>
                <c:pt idx="1019">
                  <c:v>0.70111731843575409</c:v>
                </c:pt>
                <c:pt idx="1020">
                  <c:v>0.70138017565872013</c:v>
                </c:pt>
                <c:pt idx="1021">
                  <c:v>0.7016197783461211</c:v>
                </c:pt>
                <c:pt idx="1022">
                  <c:v>0.70229007633587781</c:v>
                </c:pt>
                <c:pt idx="1023">
                  <c:v>0.70229007633587792</c:v>
                </c:pt>
                <c:pt idx="1024">
                  <c:v>0.70288248337028825</c:v>
                </c:pt>
                <c:pt idx="1025">
                  <c:v>0.70312499999999989</c:v>
                </c:pt>
                <c:pt idx="1026">
                  <c:v>0.70327552986512532</c:v>
                </c:pt>
                <c:pt idx="1027">
                  <c:v>0.70340356564019446</c:v>
                </c:pt>
                <c:pt idx="1028">
                  <c:v>0.70385126162018596</c:v>
                </c:pt>
                <c:pt idx="1029">
                  <c:v>0.70401337792642149</c:v>
                </c:pt>
                <c:pt idx="1030">
                  <c:v>0.70424710424710424</c:v>
                </c:pt>
                <c:pt idx="1031">
                  <c:v>0.70447761194029845</c:v>
                </c:pt>
                <c:pt idx="1032">
                  <c:v>0.70540098199672674</c:v>
                </c:pt>
                <c:pt idx="1033">
                  <c:v>0.70588235294117652</c:v>
                </c:pt>
                <c:pt idx="1034">
                  <c:v>0.70717592592592593</c:v>
                </c:pt>
                <c:pt idx="1035">
                  <c:v>0.70734744707347441</c:v>
                </c:pt>
                <c:pt idx="1036">
                  <c:v>0.70805812417437253</c:v>
                </c:pt>
                <c:pt idx="1037">
                  <c:v>0.70811287477954143</c:v>
                </c:pt>
                <c:pt idx="1038">
                  <c:v>0.7084592145015105</c:v>
                </c:pt>
                <c:pt idx="1039">
                  <c:v>0.70883720930232563</c:v>
                </c:pt>
                <c:pt idx="1040">
                  <c:v>0.70905587668593451</c:v>
                </c:pt>
                <c:pt idx="1041">
                  <c:v>0.70993589743589736</c:v>
                </c:pt>
                <c:pt idx="1042">
                  <c:v>0.71001757469244287</c:v>
                </c:pt>
                <c:pt idx="1043">
                  <c:v>0.71047430830039526</c:v>
                </c:pt>
                <c:pt idx="1044">
                  <c:v>0.71056910569105691</c:v>
                </c:pt>
                <c:pt idx="1045">
                  <c:v>0.71107266435986161</c:v>
                </c:pt>
                <c:pt idx="1046">
                  <c:v>0.71196172248803835</c:v>
                </c:pt>
                <c:pt idx="1047">
                  <c:v>0.71219512195121948</c:v>
                </c:pt>
                <c:pt idx="1048">
                  <c:v>0.71226415094339623</c:v>
                </c:pt>
                <c:pt idx="1049">
                  <c:v>0.71232876712328763</c:v>
                </c:pt>
                <c:pt idx="1050">
                  <c:v>0.71282633371169124</c:v>
                </c:pt>
                <c:pt idx="1051">
                  <c:v>0.71283783783783783</c:v>
                </c:pt>
                <c:pt idx="1052">
                  <c:v>0.71286231884057971</c:v>
                </c:pt>
                <c:pt idx="1053">
                  <c:v>0.7139461172741679</c:v>
                </c:pt>
                <c:pt idx="1054">
                  <c:v>0.715034965034965</c:v>
                </c:pt>
                <c:pt idx="1055">
                  <c:v>0.71548821548821551</c:v>
                </c:pt>
                <c:pt idx="1056">
                  <c:v>0.71554252199413482</c:v>
                </c:pt>
                <c:pt idx="1057">
                  <c:v>0.7155555555555555</c:v>
                </c:pt>
                <c:pt idx="1058">
                  <c:v>0.71557271557271551</c:v>
                </c:pt>
                <c:pt idx="1059">
                  <c:v>0.7156208277703604</c:v>
                </c:pt>
                <c:pt idx="1060">
                  <c:v>0.71575695159629249</c:v>
                </c:pt>
                <c:pt idx="1061">
                  <c:v>0.71727172717271725</c:v>
                </c:pt>
                <c:pt idx="1062">
                  <c:v>0.71773049645390075</c:v>
                </c:pt>
                <c:pt idx="1063">
                  <c:v>0.7178899082568807</c:v>
                </c:pt>
                <c:pt idx="1064">
                  <c:v>0.71837183718371833</c:v>
                </c:pt>
                <c:pt idx="1065">
                  <c:v>0.71874999999999989</c:v>
                </c:pt>
                <c:pt idx="1066">
                  <c:v>0.71894093686354366</c:v>
                </c:pt>
                <c:pt idx="1067">
                  <c:v>0.7192982456140351</c:v>
                </c:pt>
                <c:pt idx="1068">
                  <c:v>0.71971971971971971</c:v>
                </c:pt>
                <c:pt idx="1069">
                  <c:v>0.7199471598414795</c:v>
                </c:pt>
                <c:pt idx="1070">
                  <c:v>0.72</c:v>
                </c:pt>
                <c:pt idx="1071">
                  <c:v>0.7204450625869262</c:v>
                </c:pt>
                <c:pt idx="1072">
                  <c:v>0.72106824925816015</c:v>
                </c:pt>
                <c:pt idx="1073">
                  <c:v>0.72119815668202769</c:v>
                </c:pt>
                <c:pt idx="1074">
                  <c:v>0.72168284789644022</c:v>
                </c:pt>
                <c:pt idx="1075">
                  <c:v>0.72207446808510634</c:v>
                </c:pt>
                <c:pt idx="1076">
                  <c:v>0.72233009708737872</c:v>
                </c:pt>
                <c:pt idx="1077">
                  <c:v>0.72267759562841527</c:v>
                </c:pt>
                <c:pt idx="1078">
                  <c:v>0.72280701754385968</c:v>
                </c:pt>
                <c:pt idx="1079">
                  <c:v>0.72385428907168048</c:v>
                </c:pt>
                <c:pt idx="1080">
                  <c:v>0.72399999999999998</c:v>
                </c:pt>
                <c:pt idx="1081">
                  <c:v>0.72410203019260799</c:v>
                </c:pt>
                <c:pt idx="1082">
                  <c:v>0.7243436754176612</c:v>
                </c:pt>
                <c:pt idx="1083">
                  <c:v>0.72459499263622973</c:v>
                </c:pt>
                <c:pt idx="1084">
                  <c:v>0.72489683631361757</c:v>
                </c:pt>
                <c:pt idx="1085">
                  <c:v>0.72504708097928439</c:v>
                </c:pt>
                <c:pt idx="1086">
                  <c:v>0.72544080604534</c:v>
                </c:pt>
                <c:pt idx="1087">
                  <c:v>0.7255216693418941</c:v>
                </c:pt>
                <c:pt idx="1088">
                  <c:v>0.72571428571428576</c:v>
                </c:pt>
                <c:pt idx="1089">
                  <c:v>0.72593235039028625</c:v>
                </c:pt>
                <c:pt idx="1090">
                  <c:v>0.72657743785850859</c:v>
                </c:pt>
                <c:pt idx="1091">
                  <c:v>0.72690763052208829</c:v>
                </c:pt>
                <c:pt idx="1092">
                  <c:v>0.72773109243697476</c:v>
                </c:pt>
                <c:pt idx="1093">
                  <c:v>0.72871572871572876</c:v>
                </c:pt>
                <c:pt idx="1094">
                  <c:v>0.72907488986784141</c:v>
                </c:pt>
                <c:pt idx="1095">
                  <c:v>0.72958057395143483</c:v>
                </c:pt>
                <c:pt idx="1096">
                  <c:v>0.72988505747126442</c:v>
                </c:pt>
                <c:pt idx="1097">
                  <c:v>0.73091364205256559</c:v>
                </c:pt>
                <c:pt idx="1098">
                  <c:v>0.73098591549295777</c:v>
                </c:pt>
                <c:pt idx="1099">
                  <c:v>0.73128342245989308</c:v>
                </c:pt>
                <c:pt idx="1100">
                  <c:v>0.73170731707317072</c:v>
                </c:pt>
                <c:pt idx="1101">
                  <c:v>0.73216689098250343</c:v>
                </c:pt>
                <c:pt idx="1102">
                  <c:v>0.73252562907735319</c:v>
                </c:pt>
                <c:pt idx="1103">
                  <c:v>0.73277074542897336</c:v>
                </c:pt>
                <c:pt idx="1104">
                  <c:v>0.7329591018444267</c:v>
                </c:pt>
                <c:pt idx="1105">
                  <c:v>0.73382820784729597</c:v>
                </c:pt>
                <c:pt idx="1106">
                  <c:v>0.73426573426573427</c:v>
                </c:pt>
                <c:pt idx="1107">
                  <c:v>0.73430656934306571</c:v>
                </c:pt>
                <c:pt idx="1108">
                  <c:v>0.73443223443223449</c:v>
                </c:pt>
                <c:pt idx="1109">
                  <c:v>0.73449920508744049</c:v>
                </c:pt>
                <c:pt idx="1110">
                  <c:v>0.73450134770889486</c:v>
                </c:pt>
                <c:pt idx="1111">
                  <c:v>0.73456221198156679</c:v>
                </c:pt>
                <c:pt idx="1112">
                  <c:v>0.73473684210526313</c:v>
                </c:pt>
                <c:pt idx="1113">
                  <c:v>0.73480662983425415</c:v>
                </c:pt>
                <c:pt idx="1114">
                  <c:v>0.73486786018755335</c:v>
                </c:pt>
                <c:pt idx="1115">
                  <c:v>0.73505059797608097</c:v>
                </c:pt>
                <c:pt idx="1116">
                  <c:v>0.7350928641251222</c:v>
                </c:pt>
                <c:pt idx="1117">
                  <c:v>0.73541383989145181</c:v>
                </c:pt>
                <c:pt idx="1118">
                  <c:v>0.7354709418837676</c:v>
                </c:pt>
                <c:pt idx="1119">
                  <c:v>0.73583180987202923</c:v>
                </c:pt>
                <c:pt idx="1120">
                  <c:v>0.73614190687361425</c:v>
                </c:pt>
                <c:pt idx="1121">
                  <c:v>0.73643410852713176</c:v>
                </c:pt>
                <c:pt idx="1122">
                  <c:v>0.73757763975155277</c:v>
                </c:pt>
                <c:pt idx="1123">
                  <c:v>0.73761713520749661</c:v>
                </c:pt>
                <c:pt idx="1124">
                  <c:v>0.73796192609182543</c:v>
                </c:pt>
                <c:pt idx="1125">
                  <c:v>0.7385159010600707</c:v>
                </c:pt>
                <c:pt idx="1126">
                  <c:v>0.73864430468204056</c:v>
                </c:pt>
                <c:pt idx="1127">
                  <c:v>0.73907103825136611</c:v>
                </c:pt>
                <c:pt idx="1128">
                  <c:v>0.73928258967629046</c:v>
                </c:pt>
                <c:pt idx="1129">
                  <c:v>0.73969072164948457</c:v>
                </c:pt>
                <c:pt idx="1130">
                  <c:v>0.74011857707509887</c:v>
                </c:pt>
                <c:pt idx="1131">
                  <c:v>0.74012158054711252</c:v>
                </c:pt>
                <c:pt idx="1132">
                  <c:v>0.74013157894736847</c:v>
                </c:pt>
                <c:pt idx="1133">
                  <c:v>0.74098671726755205</c:v>
                </c:pt>
                <c:pt idx="1134">
                  <c:v>0.74103585657370519</c:v>
                </c:pt>
                <c:pt idx="1135">
                  <c:v>0.7414364640883977</c:v>
                </c:pt>
                <c:pt idx="1136">
                  <c:v>0.74258760107816713</c:v>
                </c:pt>
                <c:pt idx="1137">
                  <c:v>0.74280732345248479</c:v>
                </c:pt>
                <c:pt idx="1138">
                  <c:v>0.74299835255354196</c:v>
                </c:pt>
                <c:pt idx="1139">
                  <c:v>0.74332061068702293</c:v>
                </c:pt>
                <c:pt idx="1140">
                  <c:v>0.74380165289256195</c:v>
                </c:pt>
                <c:pt idx="1141">
                  <c:v>0.74383561643835616</c:v>
                </c:pt>
                <c:pt idx="1142">
                  <c:v>0.74415405777166432</c:v>
                </c:pt>
                <c:pt idx="1143">
                  <c:v>0.74425727411944875</c:v>
                </c:pt>
                <c:pt idx="1144">
                  <c:v>0.74471544715447147</c:v>
                </c:pt>
                <c:pt idx="1145">
                  <c:v>0.74487179487179489</c:v>
                </c:pt>
                <c:pt idx="1146">
                  <c:v>0.74524714828897343</c:v>
                </c:pt>
                <c:pt idx="1147">
                  <c:v>0.74551131928181114</c:v>
                </c:pt>
                <c:pt idx="1148">
                  <c:v>0.74560117302052786</c:v>
                </c:pt>
                <c:pt idx="1149">
                  <c:v>0.74584717607973416</c:v>
                </c:pt>
                <c:pt idx="1150">
                  <c:v>0.74622030237580994</c:v>
                </c:pt>
                <c:pt idx="1151">
                  <c:v>0.74751773049645398</c:v>
                </c:pt>
                <c:pt idx="1152">
                  <c:v>0.74754558204768584</c:v>
                </c:pt>
                <c:pt idx="1153">
                  <c:v>0.74763033175355442</c:v>
                </c:pt>
                <c:pt idx="1154">
                  <c:v>0.74783683559950553</c:v>
                </c:pt>
                <c:pt idx="1155">
                  <c:v>0.74891146589259794</c:v>
                </c:pt>
                <c:pt idx="1156">
                  <c:v>0.74906367041198507</c:v>
                </c:pt>
                <c:pt idx="1157">
                  <c:v>0.74938574938574931</c:v>
                </c:pt>
                <c:pt idx="1158">
                  <c:v>0.74950690335305714</c:v>
                </c:pt>
                <c:pt idx="1159">
                  <c:v>0.74999999999999989</c:v>
                </c:pt>
                <c:pt idx="1160">
                  <c:v>0.75053918044572254</c:v>
                </c:pt>
                <c:pt idx="1161">
                  <c:v>0.75072463768115949</c:v>
                </c:pt>
                <c:pt idx="1162">
                  <c:v>0.75139977603583419</c:v>
                </c:pt>
                <c:pt idx="1163">
                  <c:v>0.75173010380622851</c:v>
                </c:pt>
                <c:pt idx="1164">
                  <c:v>0.75182481751824826</c:v>
                </c:pt>
                <c:pt idx="1165">
                  <c:v>0.75244755244755246</c:v>
                </c:pt>
                <c:pt idx="1166">
                  <c:v>0.75290697674418605</c:v>
                </c:pt>
                <c:pt idx="1167">
                  <c:v>0.75309917355371914</c:v>
                </c:pt>
                <c:pt idx="1168">
                  <c:v>0.7531914893617021</c:v>
                </c:pt>
                <c:pt idx="1169">
                  <c:v>0.75407779171894607</c:v>
                </c:pt>
                <c:pt idx="1170">
                  <c:v>0.75445544554455446</c:v>
                </c:pt>
                <c:pt idx="1171">
                  <c:v>0.75495915985997664</c:v>
                </c:pt>
                <c:pt idx="1172">
                  <c:v>0.75510204081632659</c:v>
                </c:pt>
                <c:pt idx="1173">
                  <c:v>0.75520833333333337</c:v>
                </c:pt>
                <c:pt idx="1174">
                  <c:v>0.75534759358288772</c:v>
                </c:pt>
                <c:pt idx="1175">
                  <c:v>0.75545851528384278</c:v>
                </c:pt>
                <c:pt idx="1176">
                  <c:v>0.75579598145285931</c:v>
                </c:pt>
                <c:pt idx="1177">
                  <c:v>0.75586206896551722</c:v>
                </c:pt>
                <c:pt idx="1178">
                  <c:v>0.75595238095238104</c:v>
                </c:pt>
                <c:pt idx="1179">
                  <c:v>0.75596612779060812</c:v>
                </c:pt>
                <c:pt idx="1180">
                  <c:v>0.75684931506849318</c:v>
                </c:pt>
                <c:pt idx="1181">
                  <c:v>0.75706214689265539</c:v>
                </c:pt>
                <c:pt idx="1182">
                  <c:v>0.75754961173425361</c:v>
                </c:pt>
                <c:pt idx="1183">
                  <c:v>0.75788497217068651</c:v>
                </c:pt>
                <c:pt idx="1184">
                  <c:v>0.75795053003533563</c:v>
                </c:pt>
                <c:pt idx="1185">
                  <c:v>0.75795564127290249</c:v>
                </c:pt>
                <c:pt idx="1186">
                  <c:v>0.75806451612903225</c:v>
                </c:pt>
                <c:pt idx="1187">
                  <c:v>0.75912408759124084</c:v>
                </c:pt>
                <c:pt idx="1188">
                  <c:v>0.75931232091690548</c:v>
                </c:pt>
                <c:pt idx="1189">
                  <c:v>0.75931677018633537</c:v>
                </c:pt>
                <c:pt idx="1190">
                  <c:v>0.75935828877005351</c:v>
                </c:pt>
                <c:pt idx="1191">
                  <c:v>0.75939849624060152</c:v>
                </c:pt>
                <c:pt idx="1192">
                  <c:v>0.76038338658146964</c:v>
                </c:pt>
                <c:pt idx="1193">
                  <c:v>0.76038647342995169</c:v>
                </c:pt>
                <c:pt idx="1194">
                  <c:v>0.76053442959917783</c:v>
                </c:pt>
                <c:pt idx="1195">
                  <c:v>0.76061776061776065</c:v>
                </c:pt>
                <c:pt idx="1196">
                  <c:v>0.76081424936386766</c:v>
                </c:pt>
                <c:pt idx="1197">
                  <c:v>0.76190476190476186</c:v>
                </c:pt>
                <c:pt idx="1198">
                  <c:v>0.76256983240223475</c:v>
                </c:pt>
                <c:pt idx="1199">
                  <c:v>0.76361221779548472</c:v>
                </c:pt>
                <c:pt idx="1200">
                  <c:v>0.76406926406926401</c:v>
                </c:pt>
                <c:pt idx="1201">
                  <c:v>0.76418439716312059</c:v>
                </c:pt>
                <c:pt idx="1202">
                  <c:v>0.76465364120781532</c:v>
                </c:pt>
                <c:pt idx="1203">
                  <c:v>0.76476377952755914</c:v>
                </c:pt>
                <c:pt idx="1204">
                  <c:v>0.76487663280116103</c:v>
                </c:pt>
                <c:pt idx="1205">
                  <c:v>0.76497005988023958</c:v>
                </c:pt>
                <c:pt idx="1206">
                  <c:v>0.76526315789473687</c:v>
                </c:pt>
                <c:pt idx="1207">
                  <c:v>0.76548089591567847</c:v>
                </c:pt>
                <c:pt idx="1208">
                  <c:v>0.76555716353111436</c:v>
                </c:pt>
                <c:pt idx="1209">
                  <c:v>0.76557191392978474</c:v>
                </c:pt>
                <c:pt idx="1210">
                  <c:v>0.7656587473002161</c:v>
                </c:pt>
                <c:pt idx="1211">
                  <c:v>0.7661141804788214</c:v>
                </c:pt>
                <c:pt idx="1212">
                  <c:v>0.76700111482720168</c:v>
                </c:pt>
                <c:pt idx="1213">
                  <c:v>0.76739562624254476</c:v>
                </c:pt>
                <c:pt idx="1214">
                  <c:v>0.76964047936085223</c:v>
                </c:pt>
                <c:pt idx="1215">
                  <c:v>0.77027027027027029</c:v>
                </c:pt>
                <c:pt idx="1216">
                  <c:v>0.77070499657768654</c:v>
                </c:pt>
                <c:pt idx="1217">
                  <c:v>0.77083333333333326</c:v>
                </c:pt>
                <c:pt idx="1218">
                  <c:v>0.77130681818181812</c:v>
                </c:pt>
                <c:pt idx="1219">
                  <c:v>0.77147239263803669</c:v>
                </c:pt>
                <c:pt idx="1220">
                  <c:v>0.77169559412550059</c:v>
                </c:pt>
                <c:pt idx="1221">
                  <c:v>0.7717514124293785</c:v>
                </c:pt>
                <c:pt idx="1222">
                  <c:v>0.77189409368635431</c:v>
                </c:pt>
                <c:pt idx="1223">
                  <c:v>0.773037542662116</c:v>
                </c:pt>
                <c:pt idx="1224">
                  <c:v>0.77403846153846156</c:v>
                </c:pt>
                <c:pt idx="1225">
                  <c:v>0.77505567928730512</c:v>
                </c:pt>
                <c:pt idx="1226">
                  <c:v>0.77710843373493976</c:v>
                </c:pt>
                <c:pt idx="1227">
                  <c:v>0.77717879604672058</c:v>
                </c:pt>
                <c:pt idx="1228">
                  <c:v>0.7773109243697478</c:v>
                </c:pt>
                <c:pt idx="1229">
                  <c:v>0.77761413843888061</c:v>
                </c:pt>
                <c:pt idx="1230">
                  <c:v>0.77777777777777779</c:v>
                </c:pt>
                <c:pt idx="1231">
                  <c:v>0.77815126050420158</c:v>
                </c:pt>
                <c:pt idx="1232">
                  <c:v>0.77823408624229973</c:v>
                </c:pt>
                <c:pt idx="1233">
                  <c:v>0.77900552486187846</c:v>
                </c:pt>
                <c:pt idx="1234">
                  <c:v>0.77904142973192536</c:v>
                </c:pt>
                <c:pt idx="1235">
                  <c:v>0.7794943820224719</c:v>
                </c:pt>
                <c:pt idx="1236">
                  <c:v>0.77968526466380539</c:v>
                </c:pt>
                <c:pt idx="1237">
                  <c:v>0.77991137370753316</c:v>
                </c:pt>
                <c:pt idx="1238">
                  <c:v>0.77998345740281216</c:v>
                </c:pt>
                <c:pt idx="1239">
                  <c:v>0.78113207547169805</c:v>
                </c:pt>
                <c:pt idx="1240">
                  <c:v>0.78123233465234587</c:v>
                </c:pt>
                <c:pt idx="1241">
                  <c:v>0.78144458281444584</c:v>
                </c:pt>
                <c:pt idx="1242">
                  <c:v>0.78167115902964956</c:v>
                </c:pt>
                <c:pt idx="1243">
                  <c:v>0.78190045248868778</c:v>
                </c:pt>
                <c:pt idx="1244">
                  <c:v>0.78260869565217395</c:v>
                </c:pt>
                <c:pt idx="1245">
                  <c:v>0.78292682926829271</c:v>
                </c:pt>
                <c:pt idx="1246">
                  <c:v>0.78333333333333333</c:v>
                </c:pt>
                <c:pt idx="1247">
                  <c:v>0.78356164383561644</c:v>
                </c:pt>
                <c:pt idx="1248">
                  <c:v>0.78434268833087151</c:v>
                </c:pt>
                <c:pt idx="1249">
                  <c:v>0.78443113772455086</c:v>
                </c:pt>
                <c:pt idx="1250">
                  <c:v>0.78484438430311221</c:v>
                </c:pt>
                <c:pt idx="1251">
                  <c:v>0.78497109826589606</c:v>
                </c:pt>
                <c:pt idx="1252">
                  <c:v>0.7851123595505618</c:v>
                </c:pt>
                <c:pt idx="1253">
                  <c:v>0.78524229074889862</c:v>
                </c:pt>
                <c:pt idx="1254">
                  <c:v>0.78541953232462169</c:v>
                </c:pt>
                <c:pt idx="1255">
                  <c:v>0.7857142857142857</c:v>
                </c:pt>
                <c:pt idx="1256">
                  <c:v>0.7857142857142857</c:v>
                </c:pt>
                <c:pt idx="1257">
                  <c:v>0.78625954198473269</c:v>
                </c:pt>
                <c:pt idx="1258">
                  <c:v>0.78636363636363638</c:v>
                </c:pt>
                <c:pt idx="1259">
                  <c:v>0.78659793814432988</c:v>
                </c:pt>
                <c:pt idx="1260">
                  <c:v>0.78678304239401498</c:v>
                </c:pt>
                <c:pt idx="1261">
                  <c:v>0.78692220969560311</c:v>
                </c:pt>
                <c:pt idx="1262">
                  <c:v>0.78715814506539838</c:v>
                </c:pt>
                <c:pt idx="1263">
                  <c:v>0.7872340425531914</c:v>
                </c:pt>
                <c:pt idx="1264">
                  <c:v>0.78766140602582491</c:v>
                </c:pt>
                <c:pt idx="1265">
                  <c:v>0.78830083565459619</c:v>
                </c:pt>
                <c:pt idx="1266">
                  <c:v>0.78883495145631066</c:v>
                </c:pt>
                <c:pt idx="1267">
                  <c:v>0.78913324708926269</c:v>
                </c:pt>
                <c:pt idx="1268">
                  <c:v>0.78913738019169322</c:v>
                </c:pt>
                <c:pt idx="1269">
                  <c:v>0.78947368421052633</c:v>
                </c:pt>
                <c:pt idx="1270">
                  <c:v>0.79005524861878451</c:v>
                </c:pt>
                <c:pt idx="1271">
                  <c:v>0.79017013232514177</c:v>
                </c:pt>
                <c:pt idx="1272">
                  <c:v>0.79056386651323363</c:v>
                </c:pt>
                <c:pt idx="1273">
                  <c:v>0.79166666666666663</c:v>
                </c:pt>
                <c:pt idx="1274">
                  <c:v>0.79195561719833574</c:v>
                </c:pt>
                <c:pt idx="1275">
                  <c:v>0.79211229946524064</c:v>
                </c:pt>
                <c:pt idx="1276">
                  <c:v>0.79211469534050183</c:v>
                </c:pt>
                <c:pt idx="1277">
                  <c:v>0.79211956521739135</c:v>
                </c:pt>
                <c:pt idx="1278">
                  <c:v>0.79242636746143058</c:v>
                </c:pt>
                <c:pt idx="1279">
                  <c:v>0.79252704031465082</c:v>
                </c:pt>
                <c:pt idx="1280">
                  <c:v>0.79260237780713338</c:v>
                </c:pt>
                <c:pt idx="1281">
                  <c:v>0.7946428571428571</c:v>
                </c:pt>
                <c:pt idx="1282">
                  <c:v>0.7946428571428571</c:v>
                </c:pt>
                <c:pt idx="1283">
                  <c:v>0.79505664263645737</c:v>
                </c:pt>
                <c:pt idx="1284">
                  <c:v>0.79542857142857137</c:v>
                </c:pt>
                <c:pt idx="1285">
                  <c:v>0.79627329192546581</c:v>
                </c:pt>
                <c:pt idx="1286">
                  <c:v>0.79638752052545159</c:v>
                </c:pt>
                <c:pt idx="1287">
                  <c:v>0.79640718562874246</c:v>
                </c:pt>
                <c:pt idx="1288">
                  <c:v>0.79661016949152541</c:v>
                </c:pt>
                <c:pt idx="1289">
                  <c:v>0.79672695951765726</c:v>
                </c:pt>
                <c:pt idx="1290">
                  <c:v>0.79690949227373076</c:v>
                </c:pt>
                <c:pt idx="1291">
                  <c:v>0.79732313575525826</c:v>
                </c:pt>
                <c:pt idx="1292">
                  <c:v>0.79863013698630136</c:v>
                </c:pt>
                <c:pt idx="1293">
                  <c:v>0.79880239520958085</c:v>
                </c:pt>
                <c:pt idx="1294">
                  <c:v>0.79892761394101885</c:v>
                </c:pt>
                <c:pt idx="1295">
                  <c:v>0.79896907216494839</c:v>
                </c:pt>
                <c:pt idx="1296">
                  <c:v>0.79978813559322026</c:v>
                </c:pt>
                <c:pt idx="1297">
                  <c:v>0.79999999999999993</c:v>
                </c:pt>
                <c:pt idx="1298">
                  <c:v>0.8</c:v>
                </c:pt>
                <c:pt idx="1299">
                  <c:v>0.80023228803716617</c:v>
                </c:pt>
                <c:pt idx="1300">
                  <c:v>0.80052840158520477</c:v>
                </c:pt>
                <c:pt idx="1301">
                  <c:v>0.80054151624548742</c:v>
                </c:pt>
                <c:pt idx="1302">
                  <c:v>0.80094043887147337</c:v>
                </c:pt>
                <c:pt idx="1303">
                  <c:v>0.80171184022824549</c:v>
                </c:pt>
                <c:pt idx="1304">
                  <c:v>0.80181543116490173</c:v>
                </c:pt>
                <c:pt idx="1305">
                  <c:v>0.80212483399734402</c:v>
                </c:pt>
                <c:pt idx="1306">
                  <c:v>0.80252100840336127</c:v>
                </c:pt>
                <c:pt idx="1307">
                  <c:v>0.80392156862745101</c:v>
                </c:pt>
                <c:pt idx="1308">
                  <c:v>0.80485436893203888</c:v>
                </c:pt>
                <c:pt idx="1309">
                  <c:v>0.80503144654088055</c:v>
                </c:pt>
                <c:pt idx="1310">
                  <c:v>0.80506329113924058</c:v>
                </c:pt>
                <c:pt idx="1311">
                  <c:v>0.80586907449209944</c:v>
                </c:pt>
                <c:pt idx="1312">
                  <c:v>0.80636237897648688</c:v>
                </c:pt>
                <c:pt idx="1313">
                  <c:v>0.80662983425414359</c:v>
                </c:pt>
                <c:pt idx="1314">
                  <c:v>0.80689655172413788</c:v>
                </c:pt>
                <c:pt idx="1315">
                  <c:v>0.80700447093889727</c:v>
                </c:pt>
                <c:pt idx="1316">
                  <c:v>0.80712166172106814</c:v>
                </c:pt>
                <c:pt idx="1317">
                  <c:v>0.80729166666666663</c:v>
                </c:pt>
                <c:pt idx="1318">
                  <c:v>0.80806845965770169</c:v>
                </c:pt>
                <c:pt idx="1319">
                  <c:v>0.80848484848484847</c:v>
                </c:pt>
                <c:pt idx="1320">
                  <c:v>0.80997798972853996</c:v>
                </c:pt>
                <c:pt idx="1321">
                  <c:v>0.81132075471698106</c:v>
                </c:pt>
                <c:pt idx="1322">
                  <c:v>0.81163708086785002</c:v>
                </c:pt>
                <c:pt idx="1323">
                  <c:v>0.8120393120393119</c:v>
                </c:pt>
                <c:pt idx="1324">
                  <c:v>0.81219903691813811</c:v>
                </c:pt>
                <c:pt idx="1325">
                  <c:v>0.81278538812785384</c:v>
                </c:pt>
                <c:pt idx="1326">
                  <c:v>0.81300813008130091</c:v>
                </c:pt>
                <c:pt idx="1327">
                  <c:v>0.81311881188118817</c:v>
                </c:pt>
                <c:pt idx="1328">
                  <c:v>0.81315396113602378</c:v>
                </c:pt>
                <c:pt idx="1329">
                  <c:v>0.81328545780969475</c:v>
                </c:pt>
                <c:pt idx="1330">
                  <c:v>0.81333333333333335</c:v>
                </c:pt>
                <c:pt idx="1331">
                  <c:v>0.81400966183574885</c:v>
                </c:pt>
                <c:pt idx="1332">
                  <c:v>0.81407702523240366</c:v>
                </c:pt>
                <c:pt idx="1333">
                  <c:v>0.81519274376417239</c:v>
                </c:pt>
                <c:pt idx="1334">
                  <c:v>0.81548974943052388</c:v>
                </c:pt>
                <c:pt idx="1335">
                  <c:v>0.8158614402917046</c:v>
                </c:pt>
                <c:pt idx="1336">
                  <c:v>0.81701631701631694</c:v>
                </c:pt>
                <c:pt idx="1337">
                  <c:v>0.81770145310435927</c:v>
                </c:pt>
                <c:pt idx="1338">
                  <c:v>0.8179871520342612</c:v>
                </c:pt>
                <c:pt idx="1339">
                  <c:v>0.81892332789559552</c:v>
                </c:pt>
                <c:pt idx="1340">
                  <c:v>0.82073643410852715</c:v>
                </c:pt>
                <c:pt idx="1341">
                  <c:v>0.8209169054441261</c:v>
                </c:pt>
                <c:pt idx="1342">
                  <c:v>0.82121212121212128</c:v>
                </c:pt>
                <c:pt idx="1343">
                  <c:v>0.82150776053215069</c:v>
                </c:pt>
                <c:pt idx="1344">
                  <c:v>0.82152974504249299</c:v>
                </c:pt>
                <c:pt idx="1345">
                  <c:v>0.82229965156794427</c:v>
                </c:pt>
                <c:pt idx="1346">
                  <c:v>0.82235528942115776</c:v>
                </c:pt>
                <c:pt idx="1347">
                  <c:v>0.82288828337874653</c:v>
                </c:pt>
                <c:pt idx="1348">
                  <c:v>0.82311733800350262</c:v>
                </c:pt>
                <c:pt idx="1349">
                  <c:v>0.82378223495702008</c:v>
                </c:pt>
                <c:pt idx="1350">
                  <c:v>0.824585635359116</c:v>
                </c:pt>
                <c:pt idx="1351">
                  <c:v>0.82478097622027535</c:v>
                </c:pt>
                <c:pt idx="1352">
                  <c:v>0.82625482625482627</c:v>
                </c:pt>
                <c:pt idx="1353">
                  <c:v>0.82692307692307687</c:v>
                </c:pt>
                <c:pt idx="1354">
                  <c:v>0.82692307692307698</c:v>
                </c:pt>
                <c:pt idx="1355">
                  <c:v>0.82714285714285707</c:v>
                </c:pt>
                <c:pt idx="1356">
                  <c:v>0.82717872968980799</c:v>
                </c:pt>
                <c:pt idx="1357">
                  <c:v>0.82765151515151525</c:v>
                </c:pt>
                <c:pt idx="1358">
                  <c:v>0.82780612244897955</c:v>
                </c:pt>
                <c:pt idx="1359">
                  <c:v>0.82857142857142851</c:v>
                </c:pt>
                <c:pt idx="1360">
                  <c:v>0.82896764252696442</c:v>
                </c:pt>
                <c:pt idx="1361">
                  <c:v>0.82900136798905621</c:v>
                </c:pt>
                <c:pt idx="1362">
                  <c:v>0.82905982905982911</c:v>
                </c:pt>
                <c:pt idx="1363">
                  <c:v>0.82910447761194028</c:v>
                </c:pt>
                <c:pt idx="1364">
                  <c:v>0.83016304347826098</c:v>
                </c:pt>
                <c:pt idx="1365">
                  <c:v>0.83020833333333333</c:v>
                </c:pt>
                <c:pt idx="1366">
                  <c:v>0.83024251069900157</c:v>
                </c:pt>
                <c:pt idx="1367">
                  <c:v>0.8304862023653089</c:v>
                </c:pt>
                <c:pt idx="1368">
                  <c:v>0.83070301291248205</c:v>
                </c:pt>
                <c:pt idx="1369">
                  <c:v>0.83090909090909093</c:v>
                </c:pt>
                <c:pt idx="1370">
                  <c:v>0.83192261185006044</c:v>
                </c:pt>
                <c:pt idx="1371">
                  <c:v>0.83213773314203732</c:v>
                </c:pt>
                <c:pt idx="1372">
                  <c:v>0.83278688524590161</c:v>
                </c:pt>
                <c:pt idx="1373">
                  <c:v>0.83283132530120474</c:v>
                </c:pt>
                <c:pt idx="1374">
                  <c:v>0.83316782522343602</c:v>
                </c:pt>
                <c:pt idx="1375">
                  <c:v>0.83357452966714918</c:v>
                </c:pt>
                <c:pt idx="1376">
                  <c:v>0.83407407407407408</c:v>
                </c:pt>
                <c:pt idx="1377">
                  <c:v>0.8345098039215687</c:v>
                </c:pt>
                <c:pt idx="1378">
                  <c:v>0.8345410628019323</c:v>
                </c:pt>
                <c:pt idx="1379">
                  <c:v>0.83486238532110091</c:v>
                </c:pt>
                <c:pt idx="1380">
                  <c:v>0.8352713178294574</c:v>
                </c:pt>
                <c:pt idx="1381">
                  <c:v>0.83527454242928456</c:v>
                </c:pt>
                <c:pt idx="1382">
                  <c:v>0.83532934131736525</c:v>
                </c:pt>
                <c:pt idx="1383">
                  <c:v>0.83551198257080617</c:v>
                </c:pt>
                <c:pt idx="1384">
                  <c:v>0.83554817275747495</c:v>
                </c:pt>
                <c:pt idx="1385">
                  <c:v>0.83555555555555561</c:v>
                </c:pt>
                <c:pt idx="1386">
                  <c:v>0.8356374807987712</c:v>
                </c:pt>
                <c:pt idx="1387">
                  <c:v>0.83599574014909472</c:v>
                </c:pt>
                <c:pt idx="1388">
                  <c:v>0.83697047496790755</c:v>
                </c:pt>
                <c:pt idx="1389">
                  <c:v>0.83704453441295557</c:v>
                </c:pt>
                <c:pt idx="1390">
                  <c:v>0.83727399165507643</c:v>
                </c:pt>
                <c:pt idx="1391">
                  <c:v>0.83752417794970979</c:v>
                </c:pt>
                <c:pt idx="1392">
                  <c:v>0.83843717001055973</c:v>
                </c:pt>
                <c:pt idx="1393">
                  <c:v>0.83848797250859108</c:v>
                </c:pt>
                <c:pt idx="1394">
                  <c:v>0.83970588235294119</c:v>
                </c:pt>
                <c:pt idx="1395">
                  <c:v>0.84000000000000008</c:v>
                </c:pt>
                <c:pt idx="1396">
                  <c:v>0.84067478912839733</c:v>
                </c:pt>
                <c:pt idx="1397">
                  <c:v>0.84106891701828412</c:v>
                </c:pt>
                <c:pt idx="1398">
                  <c:v>0.84158415841584167</c:v>
                </c:pt>
                <c:pt idx="1399">
                  <c:v>0.84177215189873422</c:v>
                </c:pt>
                <c:pt idx="1400">
                  <c:v>0.84199584199584188</c:v>
                </c:pt>
                <c:pt idx="1401">
                  <c:v>0.84202453987730053</c:v>
                </c:pt>
                <c:pt idx="1402">
                  <c:v>0.84210526315789469</c:v>
                </c:pt>
                <c:pt idx="1403">
                  <c:v>0.84316546762589928</c:v>
                </c:pt>
                <c:pt idx="1404">
                  <c:v>0.84482758620689669</c:v>
                </c:pt>
                <c:pt idx="1405">
                  <c:v>0.84510086455331401</c:v>
                </c:pt>
                <c:pt idx="1406">
                  <c:v>0.84519774011299431</c:v>
                </c:pt>
                <c:pt idx="1407">
                  <c:v>0.84557721139430275</c:v>
                </c:pt>
                <c:pt idx="1408">
                  <c:v>0.84558823529411764</c:v>
                </c:pt>
                <c:pt idx="1409">
                  <c:v>0.84575835475578409</c:v>
                </c:pt>
                <c:pt idx="1410">
                  <c:v>0.84576271186440677</c:v>
                </c:pt>
                <c:pt idx="1411">
                  <c:v>0.84624277456647401</c:v>
                </c:pt>
                <c:pt idx="1412">
                  <c:v>0.84654300168634078</c:v>
                </c:pt>
                <c:pt idx="1413">
                  <c:v>0.84737484737484736</c:v>
                </c:pt>
                <c:pt idx="1414">
                  <c:v>0.84876712328767123</c:v>
                </c:pt>
                <c:pt idx="1415">
                  <c:v>0.8488888888888888</c:v>
                </c:pt>
                <c:pt idx="1416">
                  <c:v>0.84905660377358494</c:v>
                </c:pt>
                <c:pt idx="1417">
                  <c:v>0.84912959381044484</c:v>
                </c:pt>
                <c:pt idx="1418">
                  <c:v>0.84939271255060733</c:v>
                </c:pt>
                <c:pt idx="1419">
                  <c:v>0.84985835694050993</c:v>
                </c:pt>
                <c:pt idx="1420">
                  <c:v>0.85</c:v>
                </c:pt>
                <c:pt idx="1421">
                  <c:v>0.85</c:v>
                </c:pt>
                <c:pt idx="1422">
                  <c:v>0.85015290519877673</c:v>
                </c:pt>
                <c:pt idx="1423">
                  <c:v>0.8509174311926605</c:v>
                </c:pt>
                <c:pt idx="1424">
                  <c:v>0.85111371629542787</c:v>
                </c:pt>
                <c:pt idx="1425">
                  <c:v>0.85121731289449953</c:v>
                </c:pt>
                <c:pt idx="1426">
                  <c:v>0.85191347753743762</c:v>
                </c:pt>
                <c:pt idx="1427">
                  <c:v>0.85255972696245741</c:v>
                </c:pt>
                <c:pt idx="1428">
                  <c:v>0.85257452574525749</c:v>
                </c:pt>
                <c:pt idx="1429">
                  <c:v>0.85265700483091789</c:v>
                </c:pt>
                <c:pt idx="1430">
                  <c:v>0.85265700483091789</c:v>
                </c:pt>
                <c:pt idx="1431">
                  <c:v>0.8535286284953395</c:v>
                </c:pt>
                <c:pt idx="1432">
                  <c:v>0.85353535353535359</c:v>
                </c:pt>
                <c:pt idx="1433">
                  <c:v>0.85430463576158944</c:v>
                </c:pt>
                <c:pt idx="1434">
                  <c:v>0.85451977401129942</c:v>
                </c:pt>
                <c:pt idx="1435">
                  <c:v>0.85481770833333348</c:v>
                </c:pt>
                <c:pt idx="1436">
                  <c:v>0.85509838998211085</c:v>
                </c:pt>
                <c:pt idx="1437">
                  <c:v>0.85691056910569108</c:v>
                </c:pt>
                <c:pt idx="1438">
                  <c:v>0.8571428571428571</c:v>
                </c:pt>
                <c:pt idx="1439">
                  <c:v>0.85729275970619101</c:v>
                </c:pt>
                <c:pt idx="1440">
                  <c:v>0.85735735735735741</c:v>
                </c:pt>
                <c:pt idx="1441">
                  <c:v>0.85749690210656759</c:v>
                </c:pt>
                <c:pt idx="1442">
                  <c:v>0.85760517799352753</c:v>
                </c:pt>
                <c:pt idx="1443">
                  <c:v>0.85770750988142286</c:v>
                </c:pt>
                <c:pt idx="1444">
                  <c:v>0.8584615384615385</c:v>
                </c:pt>
                <c:pt idx="1445">
                  <c:v>0.85882352941176465</c:v>
                </c:pt>
                <c:pt idx="1446">
                  <c:v>0.8593576965669989</c:v>
                </c:pt>
                <c:pt idx="1447">
                  <c:v>0.85972850678733037</c:v>
                </c:pt>
                <c:pt idx="1448">
                  <c:v>0.86005560704355877</c:v>
                </c:pt>
                <c:pt idx="1449">
                  <c:v>0.860759493670886</c:v>
                </c:pt>
                <c:pt idx="1450">
                  <c:v>0.86111111111111116</c:v>
                </c:pt>
                <c:pt idx="1451">
                  <c:v>0.8617683686176838</c:v>
                </c:pt>
                <c:pt idx="1452">
                  <c:v>0.8620361560418649</c:v>
                </c:pt>
                <c:pt idx="1453">
                  <c:v>0.86206896551724133</c:v>
                </c:pt>
                <c:pt idx="1454">
                  <c:v>0.86217948717948723</c:v>
                </c:pt>
                <c:pt idx="1455">
                  <c:v>0.86253776435045315</c:v>
                </c:pt>
                <c:pt idx="1456">
                  <c:v>0.86253776435045315</c:v>
                </c:pt>
                <c:pt idx="1457">
                  <c:v>0.86260623229461764</c:v>
                </c:pt>
                <c:pt idx="1458">
                  <c:v>0.86321626617375236</c:v>
                </c:pt>
                <c:pt idx="1459">
                  <c:v>0.86390532544378684</c:v>
                </c:pt>
                <c:pt idx="1460">
                  <c:v>0.86467065868263482</c:v>
                </c:pt>
                <c:pt idx="1461">
                  <c:v>0.86477462437395658</c:v>
                </c:pt>
                <c:pt idx="1462">
                  <c:v>0.86495535714285721</c:v>
                </c:pt>
                <c:pt idx="1463">
                  <c:v>0.86599423631123917</c:v>
                </c:pt>
                <c:pt idx="1464">
                  <c:v>0.86623164763458405</c:v>
                </c:pt>
                <c:pt idx="1465">
                  <c:v>0.8665644171779141</c:v>
                </c:pt>
                <c:pt idx="1466">
                  <c:v>0.8673139158576052</c:v>
                </c:pt>
                <c:pt idx="1467">
                  <c:v>0.86984126984126975</c:v>
                </c:pt>
                <c:pt idx="1468">
                  <c:v>0.86999343401181872</c:v>
                </c:pt>
                <c:pt idx="1469">
                  <c:v>0.87032085561497319</c:v>
                </c:pt>
                <c:pt idx="1470">
                  <c:v>0.87035069075451654</c:v>
                </c:pt>
                <c:pt idx="1471">
                  <c:v>0.87068965517241381</c:v>
                </c:pt>
                <c:pt idx="1472">
                  <c:v>0.87077826725403817</c:v>
                </c:pt>
                <c:pt idx="1473">
                  <c:v>0.87081339712918659</c:v>
                </c:pt>
                <c:pt idx="1474">
                  <c:v>0.87109375000000011</c:v>
                </c:pt>
                <c:pt idx="1475">
                  <c:v>0.87174721189591076</c:v>
                </c:pt>
                <c:pt idx="1476">
                  <c:v>0.87179487179487181</c:v>
                </c:pt>
                <c:pt idx="1477">
                  <c:v>0.8725165562913908</c:v>
                </c:pt>
                <c:pt idx="1478">
                  <c:v>0.87296416938110755</c:v>
                </c:pt>
                <c:pt idx="1479">
                  <c:v>0.87304347826086959</c:v>
                </c:pt>
                <c:pt idx="1480">
                  <c:v>0.87347294938917974</c:v>
                </c:pt>
                <c:pt idx="1481">
                  <c:v>0.87382550335570464</c:v>
                </c:pt>
                <c:pt idx="1482">
                  <c:v>0.87384615384615383</c:v>
                </c:pt>
                <c:pt idx="1483">
                  <c:v>0.87387387387387383</c:v>
                </c:pt>
                <c:pt idx="1484">
                  <c:v>0.8745387453874538</c:v>
                </c:pt>
                <c:pt idx="1485">
                  <c:v>0.87476979742173122</c:v>
                </c:pt>
                <c:pt idx="1486">
                  <c:v>0.87556125721616418</c:v>
                </c:pt>
                <c:pt idx="1487">
                  <c:v>0.87558320373250387</c:v>
                </c:pt>
                <c:pt idx="1488">
                  <c:v>0.87565674255691761</c:v>
                </c:pt>
                <c:pt idx="1489">
                  <c:v>0.87679999999999991</c:v>
                </c:pt>
                <c:pt idx="1490">
                  <c:v>0.87721893491124259</c:v>
                </c:pt>
                <c:pt idx="1491">
                  <c:v>0.87873462214411246</c:v>
                </c:pt>
                <c:pt idx="1492">
                  <c:v>0.8788870703764321</c:v>
                </c:pt>
                <c:pt idx="1493">
                  <c:v>0.87899860917941586</c:v>
                </c:pt>
                <c:pt idx="1494">
                  <c:v>0.87926136363636354</c:v>
                </c:pt>
                <c:pt idx="1495">
                  <c:v>0.87942332896461328</c:v>
                </c:pt>
                <c:pt idx="1496">
                  <c:v>0.87950566426364585</c:v>
                </c:pt>
                <c:pt idx="1497">
                  <c:v>0.87979094076655051</c:v>
                </c:pt>
                <c:pt idx="1498">
                  <c:v>0.88055130168453299</c:v>
                </c:pt>
                <c:pt idx="1499">
                  <c:v>0.88055908513341796</c:v>
                </c:pt>
                <c:pt idx="1500">
                  <c:v>0.88074824629773962</c:v>
                </c:pt>
                <c:pt idx="1501">
                  <c:v>0.88099173553719001</c:v>
                </c:pt>
                <c:pt idx="1502">
                  <c:v>0.88135593220338981</c:v>
                </c:pt>
                <c:pt idx="1503">
                  <c:v>0.88193624557260919</c:v>
                </c:pt>
                <c:pt idx="1504">
                  <c:v>0.88200238379022644</c:v>
                </c:pt>
                <c:pt idx="1505">
                  <c:v>0.88208469055374594</c:v>
                </c:pt>
                <c:pt idx="1506">
                  <c:v>0.8824130879345603</c:v>
                </c:pt>
                <c:pt idx="1507">
                  <c:v>0.8830128205128206</c:v>
                </c:pt>
                <c:pt idx="1508">
                  <c:v>0.88403041825095052</c:v>
                </c:pt>
                <c:pt idx="1509">
                  <c:v>0.88409371146732441</c:v>
                </c:pt>
                <c:pt idx="1510">
                  <c:v>0.88505747126436796</c:v>
                </c:pt>
                <c:pt idx="1511">
                  <c:v>0.88507462686567162</c:v>
                </c:pt>
                <c:pt idx="1512">
                  <c:v>0.88609467455621305</c:v>
                </c:pt>
                <c:pt idx="1513">
                  <c:v>0.88815789473684204</c:v>
                </c:pt>
                <c:pt idx="1514">
                  <c:v>0.88928571428571435</c:v>
                </c:pt>
                <c:pt idx="1515">
                  <c:v>0.88954869358669841</c:v>
                </c:pt>
                <c:pt idx="1516">
                  <c:v>0.89044943820224709</c:v>
                </c:pt>
                <c:pt idx="1517">
                  <c:v>0.89083820662768043</c:v>
                </c:pt>
                <c:pt idx="1518">
                  <c:v>0.89103690685413017</c:v>
                </c:pt>
                <c:pt idx="1519">
                  <c:v>0.89165186500888105</c:v>
                </c:pt>
                <c:pt idx="1520">
                  <c:v>0.89282385834109967</c:v>
                </c:pt>
                <c:pt idx="1521">
                  <c:v>0.89302884615384603</c:v>
                </c:pt>
                <c:pt idx="1522">
                  <c:v>0.89308176100628933</c:v>
                </c:pt>
                <c:pt idx="1523">
                  <c:v>0.89310611928737416</c:v>
                </c:pt>
                <c:pt idx="1524">
                  <c:v>0.89349112426035504</c:v>
                </c:pt>
                <c:pt idx="1525">
                  <c:v>0.89349930843706771</c:v>
                </c:pt>
                <c:pt idx="1526">
                  <c:v>0.89426321709786272</c:v>
                </c:pt>
                <c:pt idx="1527">
                  <c:v>0.89430894308943099</c:v>
                </c:pt>
                <c:pt idx="1528">
                  <c:v>0.89443378119001915</c:v>
                </c:pt>
                <c:pt idx="1529">
                  <c:v>0.89455782312925169</c:v>
                </c:pt>
                <c:pt idx="1530">
                  <c:v>0.89457364341085277</c:v>
                </c:pt>
                <c:pt idx="1531">
                  <c:v>0.89463220675944344</c:v>
                </c:pt>
                <c:pt idx="1532">
                  <c:v>0.89527458492975731</c:v>
                </c:pt>
                <c:pt idx="1533">
                  <c:v>0.89536878216123506</c:v>
                </c:pt>
                <c:pt idx="1534">
                  <c:v>0.89567669172932318</c:v>
                </c:pt>
                <c:pt idx="1535">
                  <c:v>0.89576946658491718</c:v>
                </c:pt>
                <c:pt idx="1536">
                  <c:v>0.89655172413793105</c:v>
                </c:pt>
                <c:pt idx="1537">
                  <c:v>0.89761431411530812</c:v>
                </c:pt>
                <c:pt idx="1538">
                  <c:v>0.89805825242718451</c:v>
                </c:pt>
                <c:pt idx="1539">
                  <c:v>0.89826302729528551</c:v>
                </c:pt>
                <c:pt idx="1540">
                  <c:v>0.8982808022922637</c:v>
                </c:pt>
                <c:pt idx="1541">
                  <c:v>0.89868667917448408</c:v>
                </c:pt>
                <c:pt idx="1542">
                  <c:v>0.8987915407854985</c:v>
                </c:pt>
                <c:pt idx="1543">
                  <c:v>0.89898989898989901</c:v>
                </c:pt>
                <c:pt idx="1544">
                  <c:v>0.89903846153846156</c:v>
                </c:pt>
                <c:pt idx="1545">
                  <c:v>0.89931034482758621</c:v>
                </c:pt>
                <c:pt idx="1546">
                  <c:v>0.89937888198757776</c:v>
                </c:pt>
                <c:pt idx="1547">
                  <c:v>0.89987325728770584</c:v>
                </c:pt>
                <c:pt idx="1548">
                  <c:v>0.9</c:v>
                </c:pt>
                <c:pt idx="1549">
                  <c:v>0.9</c:v>
                </c:pt>
                <c:pt idx="1550">
                  <c:v>0.90052356020942415</c:v>
                </c:pt>
                <c:pt idx="1551">
                  <c:v>0.90094339622641506</c:v>
                </c:pt>
                <c:pt idx="1552">
                  <c:v>0.90157480314960625</c:v>
                </c:pt>
                <c:pt idx="1553">
                  <c:v>0.90189328743545605</c:v>
                </c:pt>
                <c:pt idx="1554">
                  <c:v>0.90196078431372551</c:v>
                </c:pt>
                <c:pt idx="1555">
                  <c:v>0.90317460317460319</c:v>
                </c:pt>
                <c:pt idx="1556">
                  <c:v>0.90345821325648412</c:v>
                </c:pt>
                <c:pt idx="1557">
                  <c:v>0.90459363957597172</c:v>
                </c:pt>
                <c:pt idx="1558">
                  <c:v>0.90465872156013005</c:v>
                </c:pt>
                <c:pt idx="1559">
                  <c:v>0.90495867768595051</c:v>
                </c:pt>
                <c:pt idx="1560">
                  <c:v>0.90523968784838349</c:v>
                </c:pt>
                <c:pt idx="1561">
                  <c:v>0.9052969502407705</c:v>
                </c:pt>
                <c:pt idx="1562">
                  <c:v>0.90579710144927539</c:v>
                </c:pt>
                <c:pt idx="1563">
                  <c:v>0.9066147859922179</c:v>
                </c:pt>
                <c:pt idx="1564">
                  <c:v>0.90690690690690701</c:v>
                </c:pt>
                <c:pt idx="1565">
                  <c:v>0.90724269377382472</c:v>
                </c:pt>
                <c:pt idx="1566">
                  <c:v>0.90738060781476138</c:v>
                </c:pt>
                <c:pt idx="1567">
                  <c:v>0.90755208333333337</c:v>
                </c:pt>
                <c:pt idx="1568">
                  <c:v>0.90774299835255357</c:v>
                </c:pt>
                <c:pt idx="1569">
                  <c:v>0.90779014308426076</c:v>
                </c:pt>
                <c:pt idx="1570">
                  <c:v>0.90795631825273027</c:v>
                </c:pt>
                <c:pt idx="1571">
                  <c:v>0.90821256038647336</c:v>
                </c:pt>
                <c:pt idx="1572">
                  <c:v>0.90850515463917536</c:v>
                </c:pt>
                <c:pt idx="1573">
                  <c:v>0.90850515463917536</c:v>
                </c:pt>
                <c:pt idx="1574">
                  <c:v>0.90865384615384626</c:v>
                </c:pt>
                <c:pt idx="1575">
                  <c:v>0.90909090909090906</c:v>
                </c:pt>
                <c:pt idx="1576">
                  <c:v>0.90962099125364437</c:v>
                </c:pt>
                <c:pt idx="1577">
                  <c:v>0.90982503364737544</c:v>
                </c:pt>
                <c:pt idx="1578">
                  <c:v>0.90982658959537577</c:v>
                </c:pt>
                <c:pt idx="1579">
                  <c:v>0.91003911342894384</c:v>
                </c:pt>
                <c:pt idx="1580">
                  <c:v>0.91034482758620683</c:v>
                </c:pt>
                <c:pt idx="1581">
                  <c:v>0.91082802547770714</c:v>
                </c:pt>
                <c:pt idx="1582">
                  <c:v>0.91153846153846152</c:v>
                </c:pt>
                <c:pt idx="1583">
                  <c:v>0.91176470588235281</c:v>
                </c:pt>
                <c:pt idx="1584">
                  <c:v>0.91220556745182013</c:v>
                </c:pt>
                <c:pt idx="1585">
                  <c:v>0.91254125412541243</c:v>
                </c:pt>
                <c:pt idx="1586">
                  <c:v>0.91321243523316054</c:v>
                </c:pt>
                <c:pt idx="1587">
                  <c:v>0.91328671328671329</c:v>
                </c:pt>
                <c:pt idx="1588">
                  <c:v>0.91386861313868617</c:v>
                </c:pt>
                <c:pt idx="1589">
                  <c:v>0.91420911528150139</c:v>
                </c:pt>
                <c:pt idx="1590">
                  <c:v>0.91449814126394058</c:v>
                </c:pt>
                <c:pt idx="1591">
                  <c:v>0.91479820627802677</c:v>
                </c:pt>
                <c:pt idx="1592">
                  <c:v>0.91555097837281163</c:v>
                </c:pt>
                <c:pt idx="1593">
                  <c:v>0.915686274509804</c:v>
                </c:pt>
                <c:pt idx="1594">
                  <c:v>0.91590493601462519</c:v>
                </c:pt>
                <c:pt idx="1595">
                  <c:v>0.91605392156862753</c:v>
                </c:pt>
                <c:pt idx="1596">
                  <c:v>0.91612903225806452</c:v>
                </c:pt>
                <c:pt idx="1597">
                  <c:v>0.91697191697191682</c:v>
                </c:pt>
                <c:pt idx="1598">
                  <c:v>0.91703056768558944</c:v>
                </c:pt>
                <c:pt idx="1599">
                  <c:v>0.91724137931034488</c:v>
                </c:pt>
                <c:pt idx="1600">
                  <c:v>0.91734052111410602</c:v>
                </c:pt>
                <c:pt idx="1601">
                  <c:v>0.91790193842645385</c:v>
                </c:pt>
                <c:pt idx="1602">
                  <c:v>0.91798941798941791</c:v>
                </c:pt>
                <c:pt idx="1603">
                  <c:v>0.91830985915492958</c:v>
                </c:pt>
                <c:pt idx="1604">
                  <c:v>0.91839557399723382</c:v>
                </c:pt>
                <c:pt idx="1605">
                  <c:v>0.91840607210626179</c:v>
                </c:pt>
                <c:pt idx="1606">
                  <c:v>0.91904047976011982</c:v>
                </c:pt>
                <c:pt idx="1607">
                  <c:v>0.91909689557855134</c:v>
                </c:pt>
                <c:pt idx="1608">
                  <c:v>0.9191343963553531</c:v>
                </c:pt>
                <c:pt idx="1609">
                  <c:v>0.91940615058324504</c:v>
                </c:pt>
                <c:pt idx="1610">
                  <c:v>0.92011019283746565</c:v>
                </c:pt>
                <c:pt idx="1611">
                  <c:v>0.92095357590966132</c:v>
                </c:pt>
                <c:pt idx="1612">
                  <c:v>0.92141756548536202</c:v>
                </c:pt>
                <c:pt idx="1613">
                  <c:v>0.92209856915739274</c:v>
                </c:pt>
                <c:pt idx="1614">
                  <c:v>0.92256637168141598</c:v>
                </c:pt>
                <c:pt idx="1615">
                  <c:v>0.92294220665499127</c:v>
                </c:pt>
                <c:pt idx="1616">
                  <c:v>0.92297111416781286</c:v>
                </c:pt>
                <c:pt idx="1617">
                  <c:v>0.92333058532563894</c:v>
                </c:pt>
                <c:pt idx="1618">
                  <c:v>0.92335766423357668</c:v>
                </c:pt>
                <c:pt idx="1619">
                  <c:v>0.92338177014531042</c:v>
                </c:pt>
                <c:pt idx="1620">
                  <c:v>0.92371705963938977</c:v>
                </c:pt>
                <c:pt idx="1621">
                  <c:v>0.9239669421487603</c:v>
                </c:pt>
                <c:pt idx="1622">
                  <c:v>0.9247524752475248</c:v>
                </c:pt>
                <c:pt idx="1623">
                  <c:v>0.92551505546751189</c:v>
                </c:pt>
                <c:pt idx="1624">
                  <c:v>0.92568659127625197</c:v>
                </c:pt>
                <c:pt idx="1625">
                  <c:v>0.92699490662139228</c:v>
                </c:pt>
                <c:pt idx="1626">
                  <c:v>0.9274447949526814</c:v>
                </c:pt>
                <c:pt idx="1627">
                  <c:v>0.92792792792792789</c:v>
                </c:pt>
                <c:pt idx="1628">
                  <c:v>0.92801556420233466</c:v>
                </c:pt>
                <c:pt idx="1629">
                  <c:v>0.93030009680542103</c:v>
                </c:pt>
                <c:pt idx="1630">
                  <c:v>0.93050847457627117</c:v>
                </c:pt>
                <c:pt idx="1631">
                  <c:v>0.93055555555555558</c:v>
                </c:pt>
                <c:pt idx="1632">
                  <c:v>0.93061979648473636</c:v>
                </c:pt>
                <c:pt idx="1633">
                  <c:v>0.93170731707317067</c:v>
                </c:pt>
                <c:pt idx="1634">
                  <c:v>0.93177387914230014</c:v>
                </c:pt>
                <c:pt idx="1635">
                  <c:v>0.93181818181818188</c:v>
                </c:pt>
                <c:pt idx="1636">
                  <c:v>0.93196405648267</c:v>
                </c:pt>
                <c:pt idx="1637">
                  <c:v>0.93230769230769228</c:v>
                </c:pt>
                <c:pt idx="1638">
                  <c:v>0.93313953488372103</c:v>
                </c:pt>
                <c:pt idx="1639">
                  <c:v>0.93353028064992616</c:v>
                </c:pt>
                <c:pt idx="1640">
                  <c:v>0.93357933579335795</c:v>
                </c:pt>
                <c:pt idx="1641">
                  <c:v>0.93525179856115104</c:v>
                </c:pt>
                <c:pt idx="1642">
                  <c:v>0.93581960104076334</c:v>
                </c:pt>
                <c:pt idx="1643">
                  <c:v>0.93629929221435781</c:v>
                </c:pt>
                <c:pt idx="1644">
                  <c:v>0.93692509855453354</c:v>
                </c:pt>
                <c:pt idx="1645">
                  <c:v>0.9374358974358975</c:v>
                </c:pt>
                <c:pt idx="1646">
                  <c:v>0.93786982248520712</c:v>
                </c:pt>
                <c:pt idx="1647">
                  <c:v>0.93856655290102387</c:v>
                </c:pt>
                <c:pt idx="1648">
                  <c:v>0.93904208998548622</c:v>
                </c:pt>
                <c:pt idx="1649">
                  <c:v>0.93965517241379326</c:v>
                </c:pt>
                <c:pt idx="1650">
                  <c:v>0.94017094017094016</c:v>
                </c:pt>
                <c:pt idx="1651">
                  <c:v>0.94038748137108807</c:v>
                </c:pt>
                <c:pt idx="1652">
                  <c:v>0.94059405940594054</c:v>
                </c:pt>
                <c:pt idx="1653">
                  <c:v>0.94167852062588908</c:v>
                </c:pt>
                <c:pt idx="1654">
                  <c:v>0.94178082191780821</c:v>
                </c:pt>
                <c:pt idx="1655">
                  <c:v>0.94201312910284452</c:v>
                </c:pt>
                <c:pt idx="1656">
                  <c:v>0.94237918215613392</c:v>
                </c:pt>
                <c:pt idx="1657">
                  <c:v>0.94238156209987201</c:v>
                </c:pt>
                <c:pt idx="1658">
                  <c:v>0.94371482176360222</c:v>
                </c:pt>
                <c:pt idx="1659">
                  <c:v>0.94388327721661058</c:v>
                </c:pt>
                <c:pt idx="1660">
                  <c:v>0.94495412844036697</c:v>
                </c:pt>
                <c:pt idx="1661">
                  <c:v>0.94511149228130364</c:v>
                </c:pt>
                <c:pt idx="1662">
                  <c:v>0.94520547945205491</c:v>
                </c:pt>
                <c:pt idx="1663">
                  <c:v>0.94525547445255476</c:v>
                </c:pt>
                <c:pt idx="1664">
                  <c:v>0.9455909943714822</c:v>
                </c:pt>
                <c:pt idx="1665">
                  <c:v>0.94659300184162065</c:v>
                </c:pt>
                <c:pt idx="1666">
                  <c:v>0.94712643678160924</c:v>
                </c:pt>
                <c:pt idx="1667">
                  <c:v>0.94825355756791718</c:v>
                </c:pt>
                <c:pt idx="1668">
                  <c:v>0.94912280701754392</c:v>
                </c:pt>
                <c:pt idx="1669">
                  <c:v>0.94912280701754392</c:v>
                </c:pt>
                <c:pt idx="1670">
                  <c:v>0.95000000000000007</c:v>
                </c:pt>
                <c:pt idx="1671">
                  <c:v>0.95053475935828868</c:v>
                </c:pt>
                <c:pt idx="1672">
                  <c:v>0.95053475935828868</c:v>
                </c:pt>
                <c:pt idx="1673">
                  <c:v>0.95076400679117146</c:v>
                </c:pt>
                <c:pt idx="1674">
                  <c:v>0.95092024539877296</c:v>
                </c:pt>
                <c:pt idx="1675">
                  <c:v>0.95094339622641511</c:v>
                </c:pt>
                <c:pt idx="1676">
                  <c:v>0.95128205128205134</c:v>
                </c:pt>
                <c:pt idx="1677">
                  <c:v>0.95145631067961167</c:v>
                </c:pt>
                <c:pt idx="1678">
                  <c:v>0.9516539440203563</c:v>
                </c:pt>
                <c:pt idx="1679">
                  <c:v>0.95195530726256983</c:v>
                </c:pt>
                <c:pt idx="1680">
                  <c:v>0.95261239368165262</c:v>
                </c:pt>
                <c:pt idx="1681">
                  <c:v>0.95283018867924529</c:v>
                </c:pt>
                <c:pt idx="1682">
                  <c:v>0.95408163265306134</c:v>
                </c:pt>
                <c:pt idx="1683">
                  <c:v>0.95432300163132144</c:v>
                </c:pt>
                <c:pt idx="1684">
                  <c:v>0.95481335952848734</c:v>
                </c:pt>
                <c:pt idx="1685">
                  <c:v>0.95542347696879648</c:v>
                </c:pt>
                <c:pt idx="1686">
                  <c:v>0.95569620253164556</c:v>
                </c:pt>
                <c:pt idx="1687">
                  <c:v>0.95607613469985353</c:v>
                </c:pt>
                <c:pt idx="1688">
                  <c:v>0.95627376425855504</c:v>
                </c:pt>
                <c:pt idx="1689">
                  <c:v>0.95665024630541862</c:v>
                </c:pt>
                <c:pt idx="1690">
                  <c:v>0.95741056218057918</c:v>
                </c:pt>
                <c:pt idx="1691">
                  <c:v>0.9575835475578407</c:v>
                </c:pt>
                <c:pt idx="1692">
                  <c:v>0.95785440613026829</c:v>
                </c:pt>
                <c:pt idx="1693">
                  <c:v>0.95846645367412142</c:v>
                </c:pt>
                <c:pt idx="1694">
                  <c:v>0.95854271356783927</c:v>
                </c:pt>
                <c:pt idx="1695">
                  <c:v>0.95854922279792742</c:v>
                </c:pt>
                <c:pt idx="1696">
                  <c:v>0.958984375</c:v>
                </c:pt>
                <c:pt idx="1697">
                  <c:v>0.95918367346938771</c:v>
                </c:pt>
                <c:pt idx="1698">
                  <c:v>0.96</c:v>
                </c:pt>
                <c:pt idx="1699">
                  <c:v>0.96085858585858575</c:v>
                </c:pt>
                <c:pt idx="1700">
                  <c:v>0.96183206106870234</c:v>
                </c:pt>
                <c:pt idx="1701">
                  <c:v>0.96207332490518327</c:v>
                </c:pt>
                <c:pt idx="1702">
                  <c:v>0.96352583586626139</c:v>
                </c:pt>
                <c:pt idx="1703">
                  <c:v>0.96397379912663761</c:v>
                </c:pt>
                <c:pt idx="1704">
                  <c:v>0.96411856474258972</c:v>
                </c:pt>
                <c:pt idx="1705">
                  <c:v>0.96491228070175439</c:v>
                </c:pt>
                <c:pt idx="1706">
                  <c:v>0.9658344283837057</c:v>
                </c:pt>
                <c:pt idx="1707">
                  <c:v>0.96666666666666667</c:v>
                </c:pt>
                <c:pt idx="1708">
                  <c:v>0.96963946869070206</c:v>
                </c:pt>
                <c:pt idx="1709">
                  <c:v>0.96975088967971523</c:v>
                </c:pt>
                <c:pt idx="1710">
                  <c:v>0.97025723472668812</c:v>
                </c:pt>
                <c:pt idx="1711">
                  <c:v>0.97037037037037033</c:v>
                </c:pt>
                <c:pt idx="1712">
                  <c:v>0.97130434782608699</c:v>
                </c:pt>
                <c:pt idx="1713">
                  <c:v>0.97196261682242979</c:v>
                </c:pt>
                <c:pt idx="1714">
                  <c:v>0.97222222222222221</c:v>
                </c:pt>
                <c:pt idx="1715">
                  <c:v>0.97236180904522607</c:v>
                </c:pt>
                <c:pt idx="1716">
                  <c:v>0.97383720930232565</c:v>
                </c:pt>
                <c:pt idx="1717">
                  <c:v>0.97400820793433662</c:v>
                </c:pt>
                <c:pt idx="1718">
                  <c:v>0.97526501766784457</c:v>
                </c:pt>
                <c:pt idx="1719">
                  <c:v>0.97606837606837604</c:v>
                </c:pt>
                <c:pt idx="1720">
                  <c:v>0.97640791476407918</c:v>
                </c:pt>
                <c:pt idx="1721">
                  <c:v>0.9766584766584766</c:v>
                </c:pt>
                <c:pt idx="1722">
                  <c:v>0.97666666666666668</c:v>
                </c:pt>
                <c:pt idx="1723">
                  <c:v>0.97666666666666668</c:v>
                </c:pt>
                <c:pt idx="1724">
                  <c:v>0.97731239092495636</c:v>
                </c:pt>
                <c:pt idx="1725">
                  <c:v>0.97744360902255634</c:v>
                </c:pt>
                <c:pt idx="1726">
                  <c:v>0.97826086956521741</c:v>
                </c:pt>
                <c:pt idx="1727">
                  <c:v>0.97829036635006772</c:v>
                </c:pt>
                <c:pt idx="1728">
                  <c:v>0.97872340425531923</c:v>
                </c:pt>
                <c:pt idx="1729">
                  <c:v>0.97972116603295301</c:v>
                </c:pt>
                <c:pt idx="1730">
                  <c:v>0.98056994818652854</c:v>
                </c:pt>
                <c:pt idx="1731">
                  <c:v>0.98118668596237346</c:v>
                </c:pt>
                <c:pt idx="1732">
                  <c:v>0.98169014084507045</c:v>
                </c:pt>
                <c:pt idx="1733">
                  <c:v>0.98270893371757917</c:v>
                </c:pt>
                <c:pt idx="1734">
                  <c:v>0.98314606741573041</c:v>
                </c:pt>
                <c:pt idx="1735">
                  <c:v>0.98335467349551864</c:v>
                </c:pt>
                <c:pt idx="1736">
                  <c:v>0.98349834983498352</c:v>
                </c:pt>
                <c:pt idx="1737">
                  <c:v>0.98394160583941614</c:v>
                </c:pt>
                <c:pt idx="1738">
                  <c:v>0.98415977961432521</c:v>
                </c:pt>
                <c:pt idx="1739">
                  <c:v>0.98715596330275224</c:v>
                </c:pt>
                <c:pt idx="1740">
                  <c:v>0.98828125</c:v>
                </c:pt>
                <c:pt idx="1741">
                  <c:v>0.98842257597684524</c:v>
                </c:pt>
                <c:pt idx="1742">
                  <c:v>0.98857142857142855</c:v>
                </c:pt>
                <c:pt idx="1743">
                  <c:v>0.98870056497175141</c:v>
                </c:pt>
                <c:pt idx="1744">
                  <c:v>0.98926174496644304</c:v>
                </c:pt>
                <c:pt idx="1745">
                  <c:v>0.9893617021276595</c:v>
                </c:pt>
                <c:pt idx="1746">
                  <c:v>0.9910714285714286</c:v>
                </c:pt>
                <c:pt idx="1747">
                  <c:v>0.99127399650959858</c:v>
                </c:pt>
                <c:pt idx="1748">
                  <c:v>0.99142367066895365</c:v>
                </c:pt>
                <c:pt idx="1749">
                  <c:v>0.99172932330827068</c:v>
                </c:pt>
                <c:pt idx="1750">
                  <c:v>0.99246704331450097</c:v>
                </c:pt>
                <c:pt idx="1751">
                  <c:v>0.99271402550091081</c:v>
                </c:pt>
                <c:pt idx="1752">
                  <c:v>0.99328214971209206</c:v>
                </c:pt>
                <c:pt idx="1753">
                  <c:v>0.99395405078597343</c:v>
                </c:pt>
                <c:pt idx="1754">
                  <c:v>0.99435028248587565</c:v>
                </c:pt>
                <c:pt idx="1755">
                  <c:v>0.99443671766342134</c:v>
                </c:pt>
                <c:pt idx="1756">
                  <c:v>0.99465954606141516</c:v>
                </c:pt>
                <c:pt idx="1757">
                  <c:v>0.99512987012987009</c:v>
                </c:pt>
                <c:pt idx="1758">
                  <c:v>0.99611650485436887</c:v>
                </c:pt>
                <c:pt idx="1759">
                  <c:v>0.99623352165725043</c:v>
                </c:pt>
                <c:pt idx="1760">
                  <c:v>0.99651567944250874</c:v>
                </c:pt>
                <c:pt idx="1761">
                  <c:v>0.99688473520249221</c:v>
                </c:pt>
                <c:pt idx="1762">
                  <c:v>0.99692780337941644</c:v>
                </c:pt>
                <c:pt idx="1763">
                  <c:v>0.99808795411089879</c:v>
                </c:pt>
                <c:pt idx="1764">
                  <c:v>0.99826086956521731</c:v>
                </c:pt>
                <c:pt idx="1765">
                  <c:v>0.99853587115666187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20F-432E-A588-B24B8DFAD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Pullback number, sorted shallow to deep</a:t>
                </a:r>
              </a:p>
            </c:rich>
          </c:tx>
          <c:overlay val="1"/>
        </c:title>
        <c:majorTickMark val="none"/>
        <c:minorTickMark val="none"/>
        <c:tickLblPos val="none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Pullback, % of the big move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/>
              <a:t>How many pullbacks in each 10% step, 5 years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546944444444445E-2"/>
          <c:y val="5.131313131313131E-2"/>
          <c:w val="0.82726388888888891"/>
          <c:h val="0.686313131313131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cat>
            <c:strRef>
              <c:f>'5 years'!$H$19:$H$28</c:f>
              <c:strCache>
                <c:ptCount val="10"/>
                <c:pt idx="0">
                  <c:v>0-9%</c:v>
                </c:pt>
                <c:pt idx="1">
                  <c:v>10-19%</c:v>
                </c:pt>
                <c:pt idx="2">
                  <c:v>20-29%</c:v>
                </c:pt>
                <c:pt idx="3">
                  <c:v>30-39%</c:v>
                </c:pt>
                <c:pt idx="4">
                  <c:v>40-49%</c:v>
                </c:pt>
                <c:pt idx="5">
                  <c:v>50-59%</c:v>
                </c:pt>
                <c:pt idx="6">
                  <c:v>60-69%</c:v>
                </c:pt>
                <c:pt idx="7">
                  <c:v>70-79%</c:v>
                </c:pt>
                <c:pt idx="8">
                  <c:v>80-89%</c:v>
                </c:pt>
                <c:pt idx="9">
                  <c:v>90-99%</c:v>
                </c:pt>
              </c:strCache>
            </c:strRef>
          </c:cat>
          <c:val>
            <c:numRef>
              <c:f>'5 years'!$I$19:$I$28</c:f>
              <c:numCache>
                <c:formatCode>0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75</c:v>
                </c:pt>
                <c:pt idx="3">
                  <c:v>163</c:v>
                </c:pt>
                <c:pt idx="4">
                  <c:v>233</c:v>
                </c:pt>
                <c:pt idx="5">
                  <c:v>267</c:v>
                </c:pt>
                <c:pt idx="6">
                  <c:v>259</c:v>
                </c:pt>
                <c:pt idx="7">
                  <c:v>280</c:v>
                </c:pt>
                <c:pt idx="8">
                  <c:v>251</c:v>
                </c:pt>
                <c:pt idx="9">
                  <c:v>218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FC4-467F-91B5-B403C43CA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Pullback depth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Pullbacks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33</xdr:row>
      <xdr:rowOff>0</xdr:rowOff>
    </xdr:from>
    <xdr:ext cx="115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65</xdr:row>
      <xdr:rowOff>0</xdr:rowOff>
    </xdr:from>
    <xdr:ext cx="720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33</xdr:row>
      <xdr:rowOff>0</xdr:rowOff>
    </xdr:from>
    <xdr:ext cx="115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65</xdr:row>
      <xdr:rowOff>0</xdr:rowOff>
    </xdr:from>
    <xdr:ext cx="720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2" customWidth="1"/>
    <col min="3" max="3" width="15" customWidth="1"/>
    <col min="4" max="4" width="17" customWidth="1"/>
    <col min="5" max="5" width="16" customWidth="1"/>
    <col min="6" max="6" width="19" customWidth="1"/>
    <col min="8" max="8" width="30" customWidth="1"/>
    <col min="9" max="11" width="12" customWidth="1"/>
  </cols>
  <sheetData>
    <row r="1" spans="1:9" ht="28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9" x14ac:dyDescent="0.3">
      <c r="A2" s="3">
        <v>1</v>
      </c>
      <c r="B2" s="4">
        <f t="shared" ref="B2:B33" si="0">D2/C2</f>
        <v>0.13847251962883655</v>
      </c>
      <c r="C2" s="5">
        <v>280.2</v>
      </c>
      <c r="D2" s="5">
        <v>38.799999999999997</v>
      </c>
      <c r="E2" s="3" t="s">
        <v>7</v>
      </c>
      <c r="F2" s="6">
        <v>46048.351388888892</v>
      </c>
      <c r="H2" s="3" t="s">
        <v>8</v>
      </c>
    </row>
    <row r="3" spans="1:9" x14ac:dyDescent="0.3">
      <c r="A3" s="3">
        <v>2</v>
      </c>
      <c r="B3" s="4">
        <f t="shared" si="0"/>
        <v>0.18375815056312983</v>
      </c>
      <c r="C3" s="5">
        <v>168.7</v>
      </c>
      <c r="D3" s="5">
        <v>31</v>
      </c>
      <c r="E3" s="3" t="s">
        <v>7</v>
      </c>
      <c r="F3" s="6">
        <v>46143.415277777778</v>
      </c>
      <c r="H3" s="3" t="s">
        <v>9</v>
      </c>
    </row>
    <row r="4" spans="1:9" x14ac:dyDescent="0.3">
      <c r="A4" s="3">
        <v>3</v>
      </c>
      <c r="B4" s="4">
        <f t="shared" si="0"/>
        <v>0.1876190476190476</v>
      </c>
      <c r="C4" s="5">
        <v>210</v>
      </c>
      <c r="D4" s="5">
        <v>39.4</v>
      </c>
      <c r="E4" s="3" t="s">
        <v>7</v>
      </c>
      <c r="F4" s="6">
        <v>46120.363194444442</v>
      </c>
    </row>
    <row r="5" spans="1:9" x14ac:dyDescent="0.3">
      <c r="A5" s="3">
        <v>4</v>
      </c>
      <c r="B5" s="4">
        <f t="shared" si="0"/>
        <v>0.20036764705882357</v>
      </c>
      <c r="C5" s="5">
        <v>163.19999999999999</v>
      </c>
      <c r="D5" s="5">
        <v>32.700000000000003</v>
      </c>
      <c r="E5" s="3" t="s">
        <v>7</v>
      </c>
      <c r="F5" s="6">
        <v>46091.160416666673</v>
      </c>
      <c r="H5" s="7" t="s">
        <v>10</v>
      </c>
    </row>
    <row r="6" spans="1:9" x14ac:dyDescent="0.3">
      <c r="A6" s="3">
        <v>5</v>
      </c>
      <c r="B6" s="4">
        <f t="shared" si="0"/>
        <v>0.20474308300395255</v>
      </c>
      <c r="C6" s="5">
        <v>126.5</v>
      </c>
      <c r="D6" s="5">
        <v>25.9</v>
      </c>
      <c r="E6" s="3" t="s">
        <v>11</v>
      </c>
      <c r="F6" s="6">
        <v>46058.336805555547</v>
      </c>
      <c r="H6" s="3" t="s">
        <v>12</v>
      </c>
      <c r="I6" s="8">
        <f>COUNT(B2:B177)</f>
        <v>176</v>
      </c>
    </row>
    <row r="7" spans="1:9" x14ac:dyDescent="0.3">
      <c r="A7" s="3">
        <v>6</v>
      </c>
      <c r="B7" s="4">
        <f t="shared" si="0"/>
        <v>0.2181384248210024</v>
      </c>
      <c r="C7" s="5">
        <v>209.5</v>
      </c>
      <c r="D7" s="5">
        <v>45.7</v>
      </c>
      <c r="E7" s="3" t="s">
        <v>7</v>
      </c>
      <c r="F7" s="6">
        <v>46127.441666666673</v>
      </c>
      <c r="H7" s="3" t="s">
        <v>13</v>
      </c>
      <c r="I7" s="8">
        <v>360</v>
      </c>
    </row>
    <row r="8" spans="1:9" x14ac:dyDescent="0.3">
      <c r="A8" s="3">
        <v>7</v>
      </c>
      <c r="B8" s="4">
        <f t="shared" si="0"/>
        <v>0.29515418502202645</v>
      </c>
      <c r="C8" s="5">
        <v>90.8</v>
      </c>
      <c r="D8" s="5">
        <v>26.8</v>
      </c>
      <c r="E8" s="3" t="s">
        <v>11</v>
      </c>
      <c r="F8" s="6">
        <v>46267.570138888892</v>
      </c>
      <c r="H8" s="3" t="s">
        <v>14</v>
      </c>
      <c r="I8" s="4">
        <f>I6/I7</f>
        <v>0.48888888888888887</v>
      </c>
    </row>
    <row r="9" spans="1:9" x14ac:dyDescent="0.3">
      <c r="A9" s="3">
        <v>8</v>
      </c>
      <c r="B9" s="4">
        <f t="shared" si="0"/>
        <v>0.29625550660792949</v>
      </c>
      <c r="C9" s="5">
        <v>90.8</v>
      </c>
      <c r="D9" s="5">
        <v>26.9</v>
      </c>
      <c r="E9" s="3" t="s">
        <v>11</v>
      </c>
      <c r="F9" s="6">
        <v>46197.258333333331</v>
      </c>
      <c r="H9" s="3" t="s">
        <v>15</v>
      </c>
      <c r="I9" s="4">
        <f>MIN(B2:B177)</f>
        <v>0.13847251962883655</v>
      </c>
    </row>
    <row r="10" spans="1:9" x14ac:dyDescent="0.3">
      <c r="A10" s="3">
        <v>9</v>
      </c>
      <c r="B10" s="4">
        <f t="shared" si="0"/>
        <v>0.31191037735849059</v>
      </c>
      <c r="C10" s="5">
        <v>169.6</v>
      </c>
      <c r="D10" s="5">
        <v>52.9</v>
      </c>
      <c r="E10" s="3" t="s">
        <v>11</v>
      </c>
      <c r="F10" s="6">
        <v>46031.571527777778</v>
      </c>
      <c r="H10" s="3" t="s">
        <v>16</v>
      </c>
      <c r="I10" s="4">
        <f>MEDIAN(B2:B177)</f>
        <v>0.64253156538193845</v>
      </c>
    </row>
    <row r="11" spans="1:9" x14ac:dyDescent="0.3">
      <c r="A11" s="3">
        <v>10</v>
      </c>
      <c r="B11" s="4">
        <f t="shared" si="0"/>
        <v>0.31867057673509291</v>
      </c>
      <c r="C11" s="5">
        <v>204.6</v>
      </c>
      <c r="D11" s="5">
        <v>65.2</v>
      </c>
      <c r="E11" s="3" t="s">
        <v>11</v>
      </c>
      <c r="F11" s="6">
        <v>46157.453472222223</v>
      </c>
      <c r="H11" s="3" t="s">
        <v>17</v>
      </c>
      <c r="I11" s="4">
        <f>AVERAGE(B2:B177)</f>
        <v>0.63671572992131886</v>
      </c>
    </row>
    <row r="12" spans="1:9" x14ac:dyDescent="0.3">
      <c r="A12" s="3">
        <v>11</v>
      </c>
      <c r="B12" s="4">
        <f t="shared" si="0"/>
        <v>0.33686300463269359</v>
      </c>
      <c r="C12" s="5">
        <v>151.1</v>
      </c>
      <c r="D12" s="5">
        <v>50.9</v>
      </c>
      <c r="E12" s="3" t="s">
        <v>11</v>
      </c>
      <c r="F12" s="6">
        <v>46154.442361111112</v>
      </c>
      <c r="H12" s="3" t="s">
        <v>18</v>
      </c>
      <c r="I12" s="4">
        <f>MAX(B2:B177)</f>
        <v>0.99826086956521731</v>
      </c>
    </row>
    <row r="13" spans="1:9" x14ac:dyDescent="0.3">
      <c r="A13" s="3">
        <v>12</v>
      </c>
      <c r="B13" s="4">
        <f t="shared" si="0"/>
        <v>0.34275092936802976</v>
      </c>
      <c r="C13" s="5">
        <v>134.5</v>
      </c>
      <c r="D13" s="5">
        <v>46.1</v>
      </c>
      <c r="E13" s="3" t="s">
        <v>11</v>
      </c>
      <c r="F13" s="6">
        <v>46146.61041666667</v>
      </c>
      <c r="H13" s="3" t="s">
        <v>19</v>
      </c>
      <c r="I13" s="4">
        <f>COUNTIF(B2:B177,"&lt;0.5")/I6</f>
        <v>0.28409090909090912</v>
      </c>
    </row>
    <row r="14" spans="1:9" x14ac:dyDescent="0.3">
      <c r="A14" s="3">
        <v>13</v>
      </c>
      <c r="B14" s="4">
        <f t="shared" si="0"/>
        <v>0.34693877551020408</v>
      </c>
      <c r="C14" s="5">
        <v>181.3</v>
      </c>
      <c r="D14" s="5">
        <v>62.9</v>
      </c>
      <c r="E14" s="3" t="s">
        <v>11</v>
      </c>
      <c r="F14" s="6">
        <v>46191.273611111108</v>
      </c>
      <c r="H14" s="3" t="s">
        <v>20</v>
      </c>
      <c r="I14" s="4">
        <f>COUNTIF(B2:B177,"&gt;=0.8")/I6</f>
        <v>0.25</v>
      </c>
    </row>
    <row r="15" spans="1:9" x14ac:dyDescent="0.3">
      <c r="A15" s="3">
        <v>14</v>
      </c>
      <c r="B15" s="4">
        <f t="shared" si="0"/>
        <v>0.35069885641677256</v>
      </c>
      <c r="C15" s="5">
        <v>78.7</v>
      </c>
      <c r="D15" s="5">
        <v>27.6</v>
      </c>
      <c r="E15" s="3" t="s">
        <v>11</v>
      </c>
      <c r="F15" s="6">
        <v>46169.597222222219</v>
      </c>
    </row>
    <row r="16" spans="1:9" x14ac:dyDescent="0.3">
      <c r="A16" s="3">
        <v>15</v>
      </c>
      <c r="B16" s="4">
        <f t="shared" si="0"/>
        <v>0.35299003322259137</v>
      </c>
      <c r="C16" s="5">
        <v>120.4</v>
      </c>
      <c r="D16" s="5">
        <v>42.5</v>
      </c>
      <c r="E16" s="3" t="s">
        <v>7</v>
      </c>
      <c r="F16" s="6">
        <v>46062.356249999997</v>
      </c>
    </row>
    <row r="17" spans="1:10" x14ac:dyDescent="0.3">
      <c r="A17" s="3">
        <v>16</v>
      </c>
      <c r="B17" s="4">
        <f t="shared" si="0"/>
        <v>0.35507246376811596</v>
      </c>
      <c r="C17" s="5">
        <v>124.2</v>
      </c>
      <c r="D17" s="5">
        <v>44.1</v>
      </c>
      <c r="E17" s="3" t="s">
        <v>11</v>
      </c>
      <c r="F17" s="6">
        <v>46094.57916666667</v>
      </c>
      <c r="H17" s="7" t="s">
        <v>21</v>
      </c>
    </row>
    <row r="18" spans="1:10" x14ac:dyDescent="0.3">
      <c r="A18" s="3">
        <v>17</v>
      </c>
      <c r="B18" s="4">
        <f t="shared" si="0"/>
        <v>0.35629921259842523</v>
      </c>
      <c r="C18" s="5">
        <v>101.6</v>
      </c>
      <c r="D18" s="5">
        <v>36.200000000000003</v>
      </c>
      <c r="E18" s="3" t="s">
        <v>11</v>
      </c>
      <c r="F18" s="6">
        <v>46072.382638888892</v>
      </c>
      <c r="H18" s="7" t="s">
        <v>22</v>
      </c>
      <c r="I18" s="7" t="s">
        <v>12</v>
      </c>
      <c r="J18" s="7" t="s">
        <v>23</v>
      </c>
    </row>
    <row r="19" spans="1:10" x14ac:dyDescent="0.3">
      <c r="A19" s="3">
        <v>18</v>
      </c>
      <c r="B19" s="4">
        <f t="shared" si="0"/>
        <v>0.35984207557811615</v>
      </c>
      <c r="C19" s="5">
        <v>177.3</v>
      </c>
      <c r="D19" s="5">
        <v>63.8</v>
      </c>
      <c r="E19" s="3" t="s">
        <v>11</v>
      </c>
      <c r="F19" s="6">
        <v>46181.481249999997</v>
      </c>
      <c r="H19" s="3" t="s">
        <v>24</v>
      </c>
      <c r="I19" s="8">
        <f>COUNTIFS($B$2:$B$177,"&gt;=0.0",$B$2:$B$177,"&lt;0.1")</f>
        <v>0</v>
      </c>
      <c r="J19" s="4">
        <f t="shared" ref="J19:J28" si="1">I19/$I$6</f>
        <v>0</v>
      </c>
    </row>
    <row r="20" spans="1:10" x14ac:dyDescent="0.3">
      <c r="A20" s="3">
        <v>19</v>
      </c>
      <c r="B20" s="4">
        <f t="shared" si="0"/>
        <v>0.36394366197183098</v>
      </c>
      <c r="C20" s="5">
        <v>177.5</v>
      </c>
      <c r="D20" s="5">
        <v>64.599999999999994</v>
      </c>
      <c r="E20" s="3" t="s">
        <v>7</v>
      </c>
      <c r="F20" s="6">
        <v>46219.493055555547</v>
      </c>
      <c r="H20" s="3" t="s">
        <v>25</v>
      </c>
      <c r="I20" s="8">
        <f>COUNTIFS($B$2:$B$177,"&gt;=0.1",$B$2:$B$177,"&lt;0.2")</f>
        <v>3</v>
      </c>
      <c r="J20" s="4">
        <f t="shared" si="1"/>
        <v>1.7045454545454544E-2</v>
      </c>
    </row>
    <row r="21" spans="1:10" x14ac:dyDescent="0.3">
      <c r="A21" s="3">
        <v>20</v>
      </c>
      <c r="B21" s="4">
        <f t="shared" si="0"/>
        <v>0.36756756756756753</v>
      </c>
      <c r="C21" s="5">
        <v>111</v>
      </c>
      <c r="D21" s="5">
        <v>40.799999999999997</v>
      </c>
      <c r="E21" s="3" t="s">
        <v>7</v>
      </c>
      <c r="F21" s="6">
        <v>46253.75</v>
      </c>
      <c r="H21" s="3" t="s">
        <v>26</v>
      </c>
      <c r="I21" s="8">
        <f>COUNTIFS($B$2:$B$177,"&gt;=0.2",$B$2:$B$177,"&lt;0.30000000000000004")</f>
        <v>5</v>
      </c>
      <c r="J21" s="4">
        <f t="shared" si="1"/>
        <v>2.8409090909090908E-2</v>
      </c>
    </row>
    <row r="22" spans="1:10" x14ac:dyDescent="0.3">
      <c r="A22" s="3">
        <v>21</v>
      </c>
      <c r="B22" s="4">
        <f t="shared" si="0"/>
        <v>0.36842105263157898</v>
      </c>
      <c r="C22" s="5">
        <v>64.599999999999994</v>
      </c>
      <c r="D22" s="5">
        <v>23.8</v>
      </c>
      <c r="E22" s="3" t="s">
        <v>11</v>
      </c>
      <c r="F22" s="6">
        <v>46219.57916666667</v>
      </c>
      <c r="H22" s="3" t="s">
        <v>27</v>
      </c>
      <c r="I22" s="8">
        <f>COUNTIFS($B$2:$B$177,"&gt;=0.3",$B$2:$B$177,"&lt;0.4")</f>
        <v>18</v>
      </c>
      <c r="J22" s="4">
        <f t="shared" si="1"/>
        <v>0.10227272727272728</v>
      </c>
    </row>
    <row r="23" spans="1:10" x14ac:dyDescent="0.3">
      <c r="A23" s="3">
        <v>22</v>
      </c>
      <c r="B23" s="4">
        <f t="shared" si="0"/>
        <v>0.37397420867526376</v>
      </c>
      <c r="C23" s="5">
        <v>85.3</v>
      </c>
      <c r="D23" s="5">
        <v>31.9</v>
      </c>
      <c r="E23" s="3" t="s">
        <v>11</v>
      </c>
      <c r="F23" s="6">
        <v>46261.55972222222</v>
      </c>
      <c r="H23" s="3" t="s">
        <v>28</v>
      </c>
      <c r="I23" s="8">
        <f>COUNTIFS($B$2:$B$177,"&gt;=0.4",$B$2:$B$177,"&lt;0.5")</f>
        <v>24</v>
      </c>
      <c r="J23" s="4">
        <f t="shared" si="1"/>
        <v>0.13636363636363635</v>
      </c>
    </row>
    <row r="24" spans="1:10" x14ac:dyDescent="0.3">
      <c r="A24" s="3">
        <v>23</v>
      </c>
      <c r="B24" s="4">
        <f t="shared" si="0"/>
        <v>0.38193624557260919</v>
      </c>
      <c r="C24" s="5">
        <v>169.4</v>
      </c>
      <c r="D24" s="5">
        <v>64.7</v>
      </c>
      <c r="E24" s="3" t="s">
        <v>11</v>
      </c>
      <c r="F24" s="6">
        <v>46084.51458333333</v>
      </c>
      <c r="H24" s="3" t="s">
        <v>29</v>
      </c>
      <c r="I24" s="8">
        <f>COUNTIFS($B$2:$B$177,"&gt;=0.5",$B$2:$B$177,"&lt;0.6")</f>
        <v>26</v>
      </c>
      <c r="J24" s="4">
        <f t="shared" si="1"/>
        <v>0.14772727272727273</v>
      </c>
    </row>
    <row r="25" spans="1:10" x14ac:dyDescent="0.3">
      <c r="A25" s="3">
        <v>24</v>
      </c>
      <c r="B25" s="4">
        <f t="shared" si="0"/>
        <v>0.38476658476658476</v>
      </c>
      <c r="C25" s="5">
        <v>203.5</v>
      </c>
      <c r="D25" s="5">
        <v>78.3</v>
      </c>
      <c r="E25" s="3" t="s">
        <v>7</v>
      </c>
      <c r="F25" s="6">
        <v>46050.215277777781</v>
      </c>
      <c r="H25" s="3" t="s">
        <v>30</v>
      </c>
      <c r="I25" s="8">
        <f>COUNTIFS($B$2:$B$177,"&gt;=0.6",$B$2:$B$177,"&lt;0.7")</f>
        <v>28</v>
      </c>
      <c r="J25" s="4">
        <f t="shared" si="1"/>
        <v>0.15909090909090909</v>
      </c>
    </row>
    <row r="26" spans="1:10" x14ac:dyDescent="0.3">
      <c r="A26" s="3">
        <v>25</v>
      </c>
      <c r="B26" s="4">
        <f t="shared" si="0"/>
        <v>0.39303482587064675</v>
      </c>
      <c r="C26" s="5">
        <v>60.3</v>
      </c>
      <c r="D26" s="5">
        <v>23.7</v>
      </c>
      <c r="E26" s="3" t="s">
        <v>11</v>
      </c>
      <c r="F26" s="6">
        <v>46220.292361111111</v>
      </c>
      <c r="H26" s="3" t="s">
        <v>31</v>
      </c>
      <c r="I26" s="8">
        <f>COUNTIFS($B$2:$B$177,"&gt;=0.7",$B$2:$B$177,"&lt;0.7999999999999999")</f>
        <v>28</v>
      </c>
      <c r="J26" s="4">
        <f t="shared" si="1"/>
        <v>0.15909090909090909</v>
      </c>
    </row>
    <row r="27" spans="1:10" x14ac:dyDescent="0.3">
      <c r="A27" s="3">
        <v>26</v>
      </c>
      <c r="B27" s="4">
        <f t="shared" si="0"/>
        <v>0.39812889812889807</v>
      </c>
      <c r="C27" s="5">
        <v>96.2</v>
      </c>
      <c r="D27" s="5">
        <v>38.299999999999997</v>
      </c>
      <c r="E27" s="3" t="s">
        <v>7</v>
      </c>
      <c r="F27" s="6">
        <v>46245.500694444447</v>
      </c>
      <c r="H27" s="3" t="s">
        <v>32</v>
      </c>
      <c r="I27" s="8">
        <f>COUNTIFS($B$2:$B$177,"&gt;=0.8",$B$2:$B$177,"&lt;0.9")</f>
        <v>24</v>
      </c>
      <c r="J27" s="4">
        <f t="shared" si="1"/>
        <v>0.13636363636363635</v>
      </c>
    </row>
    <row r="28" spans="1:10" x14ac:dyDescent="0.3">
      <c r="A28" s="3">
        <v>27</v>
      </c>
      <c r="B28" s="4">
        <f t="shared" si="0"/>
        <v>0.40533778148457045</v>
      </c>
      <c r="C28" s="5">
        <v>119.9</v>
      </c>
      <c r="D28" s="5">
        <v>48.6</v>
      </c>
      <c r="E28" s="3" t="s">
        <v>11</v>
      </c>
      <c r="F28" s="6">
        <v>46191.625</v>
      </c>
      <c r="H28" s="3" t="s">
        <v>33</v>
      </c>
      <c r="I28" s="8">
        <f>COUNTIFS($B$2:$B$177,"&gt;=0.9",$B$2:$B$177,"&lt;1.0")</f>
        <v>20</v>
      </c>
      <c r="J28" s="4">
        <f t="shared" si="1"/>
        <v>0.11363636363636363</v>
      </c>
    </row>
    <row r="29" spans="1:10" x14ac:dyDescent="0.3">
      <c r="A29" s="3">
        <v>28</v>
      </c>
      <c r="B29" s="4">
        <f t="shared" si="0"/>
        <v>0.40837696335078533</v>
      </c>
      <c r="C29" s="5">
        <v>57.3</v>
      </c>
      <c r="D29" s="5">
        <v>23.4</v>
      </c>
      <c r="E29" s="3" t="s">
        <v>11</v>
      </c>
      <c r="F29" s="6">
        <v>46237.525000000001</v>
      </c>
    </row>
    <row r="30" spans="1:10" x14ac:dyDescent="0.3">
      <c r="A30" s="3">
        <v>29</v>
      </c>
      <c r="B30" s="4">
        <f t="shared" si="0"/>
        <v>0.41390306122448978</v>
      </c>
      <c r="C30" s="5">
        <v>156.80000000000001</v>
      </c>
      <c r="D30" s="5">
        <v>64.900000000000006</v>
      </c>
      <c r="E30" s="3" t="s">
        <v>11</v>
      </c>
      <c r="F30" s="6">
        <v>46230.083333333343</v>
      </c>
      <c r="H30" s="9" t="s">
        <v>34</v>
      </c>
    </row>
    <row r="31" spans="1:10" x14ac:dyDescent="0.3">
      <c r="A31" s="3">
        <v>30</v>
      </c>
      <c r="B31" s="4">
        <f t="shared" si="0"/>
        <v>0.4229368932038835</v>
      </c>
      <c r="C31" s="5">
        <v>164.8</v>
      </c>
      <c r="D31" s="5">
        <v>69.7</v>
      </c>
      <c r="E31" s="3" t="s">
        <v>11</v>
      </c>
      <c r="F31" s="6">
        <v>46114.628472222219</v>
      </c>
      <c r="H31" s="9" t="s">
        <v>35</v>
      </c>
    </row>
    <row r="32" spans="1:10" x14ac:dyDescent="0.3">
      <c r="A32" s="3">
        <v>31</v>
      </c>
      <c r="B32" s="4">
        <f t="shared" si="0"/>
        <v>0.42812982998454402</v>
      </c>
      <c r="C32" s="5">
        <v>64.7</v>
      </c>
      <c r="D32" s="5">
        <v>27.7</v>
      </c>
      <c r="E32" s="3" t="s">
        <v>7</v>
      </c>
      <c r="F32" s="6">
        <v>46041.098611111112</v>
      </c>
      <c r="H32" s="9" t="s">
        <v>36</v>
      </c>
    </row>
    <row r="33" spans="1:6" x14ac:dyDescent="0.3">
      <c r="A33" s="3">
        <v>32</v>
      </c>
      <c r="B33" s="4">
        <f t="shared" si="0"/>
        <v>0.43160377358490565</v>
      </c>
      <c r="C33" s="5">
        <v>127.2</v>
      </c>
      <c r="D33" s="5">
        <v>54.9</v>
      </c>
      <c r="E33" s="3" t="s">
        <v>11</v>
      </c>
      <c r="F33" s="6">
        <v>46055.428472222222</v>
      </c>
    </row>
    <row r="34" spans="1:6" x14ac:dyDescent="0.3">
      <c r="A34" s="3">
        <v>33</v>
      </c>
      <c r="B34" s="4">
        <f t="shared" ref="B34:B65" si="2">D34/C34</f>
        <v>0.44519230769230766</v>
      </c>
      <c r="C34" s="5">
        <v>104</v>
      </c>
      <c r="D34" s="5">
        <v>46.3</v>
      </c>
      <c r="E34" s="3" t="s">
        <v>11</v>
      </c>
      <c r="F34" s="6">
        <v>46101.506944444453</v>
      </c>
    </row>
    <row r="35" spans="1:6" x14ac:dyDescent="0.3">
      <c r="A35" s="3">
        <v>34</v>
      </c>
      <c r="B35" s="4">
        <f t="shared" si="2"/>
        <v>0.45306122448979586</v>
      </c>
      <c r="C35" s="5">
        <v>73.5</v>
      </c>
      <c r="D35" s="5">
        <v>33.299999999999997</v>
      </c>
      <c r="E35" s="3" t="s">
        <v>11</v>
      </c>
      <c r="F35" s="6">
        <v>46094.05</v>
      </c>
    </row>
    <row r="36" spans="1:6" x14ac:dyDescent="0.3">
      <c r="A36" s="3">
        <v>35</v>
      </c>
      <c r="B36" s="4">
        <f t="shared" si="2"/>
        <v>0.45673505798394298</v>
      </c>
      <c r="C36" s="5">
        <v>112.1</v>
      </c>
      <c r="D36" s="5">
        <v>51.2</v>
      </c>
      <c r="E36" s="3" t="s">
        <v>7</v>
      </c>
      <c r="F36" s="6">
        <v>46083.584722222222</v>
      </c>
    </row>
    <row r="37" spans="1:6" x14ac:dyDescent="0.3">
      <c r="A37" s="3">
        <v>36</v>
      </c>
      <c r="B37" s="4">
        <f t="shared" si="2"/>
        <v>0.45732130464954895</v>
      </c>
      <c r="C37" s="5">
        <v>144.1</v>
      </c>
      <c r="D37" s="5">
        <v>65.900000000000006</v>
      </c>
      <c r="E37" s="3" t="s">
        <v>7</v>
      </c>
      <c r="F37" s="6">
        <v>46205.511805555558</v>
      </c>
    </row>
    <row r="38" spans="1:6" x14ac:dyDescent="0.3">
      <c r="A38" s="3">
        <v>37</v>
      </c>
      <c r="B38" s="4">
        <f t="shared" si="2"/>
        <v>0.45871559633027525</v>
      </c>
      <c r="C38" s="5">
        <v>109</v>
      </c>
      <c r="D38" s="5">
        <v>50</v>
      </c>
      <c r="E38" s="3" t="s">
        <v>7</v>
      </c>
      <c r="F38" s="6">
        <v>46185.318749999999</v>
      </c>
    </row>
    <row r="39" spans="1:6" x14ac:dyDescent="0.3">
      <c r="A39" s="3">
        <v>38</v>
      </c>
      <c r="B39" s="4">
        <f t="shared" si="2"/>
        <v>0.46031746031746035</v>
      </c>
      <c r="C39" s="5">
        <v>81.900000000000006</v>
      </c>
      <c r="D39" s="5">
        <v>37.700000000000003</v>
      </c>
      <c r="E39" s="3" t="s">
        <v>7</v>
      </c>
      <c r="F39" s="6">
        <v>46160.457638888889</v>
      </c>
    </row>
    <row r="40" spans="1:6" x14ac:dyDescent="0.3">
      <c r="A40" s="3">
        <v>39</v>
      </c>
      <c r="B40" s="4">
        <f t="shared" si="2"/>
        <v>0.46139705882352944</v>
      </c>
      <c r="C40" s="5">
        <v>108.8</v>
      </c>
      <c r="D40" s="5">
        <v>50.2</v>
      </c>
      <c r="E40" s="3" t="s">
        <v>7</v>
      </c>
      <c r="F40" s="6">
        <v>46212.536805555559</v>
      </c>
    </row>
    <row r="41" spans="1:6" x14ac:dyDescent="0.3">
      <c r="A41" s="3">
        <v>40</v>
      </c>
      <c r="B41" s="4">
        <f t="shared" si="2"/>
        <v>0.46567717996289426</v>
      </c>
      <c r="C41" s="5">
        <v>53.9</v>
      </c>
      <c r="D41" s="5">
        <v>25.1</v>
      </c>
      <c r="E41" s="3" t="s">
        <v>7</v>
      </c>
      <c r="F41" s="6">
        <v>46042.029166666667</v>
      </c>
    </row>
    <row r="42" spans="1:6" x14ac:dyDescent="0.3">
      <c r="A42" s="3">
        <v>41</v>
      </c>
      <c r="B42" s="4">
        <f t="shared" si="2"/>
        <v>0.46995029371893354</v>
      </c>
      <c r="C42" s="5">
        <v>221.3</v>
      </c>
      <c r="D42" s="5">
        <v>104</v>
      </c>
      <c r="E42" s="3" t="s">
        <v>7</v>
      </c>
      <c r="F42" s="6">
        <v>46101.424305555563</v>
      </c>
    </row>
    <row r="43" spans="1:6" x14ac:dyDescent="0.3">
      <c r="A43" s="3">
        <v>42</v>
      </c>
      <c r="B43" s="4">
        <f t="shared" si="2"/>
        <v>0.47503782148260215</v>
      </c>
      <c r="C43" s="5">
        <v>66.099999999999994</v>
      </c>
      <c r="D43" s="5">
        <v>31.4</v>
      </c>
      <c r="E43" s="3" t="s">
        <v>11</v>
      </c>
      <c r="F43" s="6">
        <v>46043.068055555559</v>
      </c>
    </row>
    <row r="44" spans="1:6" x14ac:dyDescent="0.3">
      <c r="A44" s="3">
        <v>43</v>
      </c>
      <c r="B44" s="4">
        <f t="shared" si="2"/>
        <v>0.47803163444639718</v>
      </c>
      <c r="C44" s="5">
        <v>113.8</v>
      </c>
      <c r="D44" s="5">
        <v>54.4</v>
      </c>
      <c r="E44" s="3" t="s">
        <v>7</v>
      </c>
      <c r="F44" s="6">
        <v>46233.272916666669</v>
      </c>
    </row>
    <row r="45" spans="1:6" x14ac:dyDescent="0.3">
      <c r="A45" s="3">
        <v>44</v>
      </c>
      <c r="B45" s="4">
        <f t="shared" si="2"/>
        <v>0.48107569721115534</v>
      </c>
      <c r="C45" s="5">
        <v>100.4</v>
      </c>
      <c r="D45" s="5">
        <v>48.3</v>
      </c>
      <c r="E45" s="3" t="s">
        <v>11</v>
      </c>
      <c r="F45" s="6">
        <v>46100.10833333333</v>
      </c>
    </row>
    <row r="46" spans="1:6" x14ac:dyDescent="0.3">
      <c r="A46" s="3">
        <v>45</v>
      </c>
      <c r="B46" s="4">
        <f t="shared" si="2"/>
        <v>0.49061032863849763</v>
      </c>
      <c r="C46" s="5">
        <v>85.2</v>
      </c>
      <c r="D46" s="5">
        <v>41.8</v>
      </c>
      <c r="E46" s="3" t="s">
        <v>7</v>
      </c>
      <c r="F46" s="6">
        <v>46051.087500000001</v>
      </c>
    </row>
    <row r="47" spans="1:6" x14ac:dyDescent="0.3">
      <c r="A47" s="3">
        <v>46</v>
      </c>
      <c r="B47" s="4">
        <f t="shared" si="2"/>
        <v>0.49105367793240556</v>
      </c>
      <c r="C47" s="5">
        <v>50.3</v>
      </c>
      <c r="D47" s="5">
        <v>24.7</v>
      </c>
      <c r="E47" s="3" t="s">
        <v>7</v>
      </c>
      <c r="F47" s="6">
        <v>46034.193749999999</v>
      </c>
    </row>
    <row r="48" spans="1:6" x14ac:dyDescent="0.3">
      <c r="A48" s="3">
        <v>47</v>
      </c>
      <c r="B48" s="4">
        <f t="shared" si="2"/>
        <v>0.49180327868852458</v>
      </c>
      <c r="C48" s="5">
        <v>109.8</v>
      </c>
      <c r="D48" s="5">
        <v>54</v>
      </c>
      <c r="E48" s="3" t="s">
        <v>11</v>
      </c>
      <c r="F48" s="6">
        <v>46070.443749999999</v>
      </c>
    </row>
    <row r="49" spans="1:6" x14ac:dyDescent="0.3">
      <c r="A49" s="3">
        <v>48</v>
      </c>
      <c r="B49" s="4">
        <f t="shared" si="2"/>
        <v>0.49323715058611362</v>
      </c>
      <c r="C49" s="5">
        <v>110.9</v>
      </c>
      <c r="D49" s="5">
        <v>54.7</v>
      </c>
      <c r="E49" s="3" t="s">
        <v>11</v>
      </c>
      <c r="F49" s="6">
        <v>46101.769444444442</v>
      </c>
    </row>
    <row r="50" spans="1:6" x14ac:dyDescent="0.3">
      <c r="A50" s="3">
        <v>49</v>
      </c>
      <c r="B50" s="4">
        <f t="shared" si="2"/>
        <v>0.49341142020497808</v>
      </c>
      <c r="C50" s="5">
        <v>68.3</v>
      </c>
      <c r="D50" s="5">
        <v>33.700000000000003</v>
      </c>
      <c r="E50" s="3" t="s">
        <v>11</v>
      </c>
      <c r="F50" s="6">
        <v>46106.738194444442</v>
      </c>
    </row>
    <row r="51" spans="1:6" x14ac:dyDescent="0.3">
      <c r="A51" s="3">
        <v>50</v>
      </c>
      <c r="B51" s="4">
        <f t="shared" si="2"/>
        <v>0.49556650246305417</v>
      </c>
      <c r="C51" s="5">
        <v>101.5</v>
      </c>
      <c r="D51" s="5">
        <v>50.3</v>
      </c>
      <c r="E51" s="3" t="s">
        <v>11</v>
      </c>
      <c r="F51" s="6">
        <v>46038.445138888892</v>
      </c>
    </row>
    <row r="52" spans="1:6" x14ac:dyDescent="0.3">
      <c r="A52" s="3">
        <v>51</v>
      </c>
      <c r="B52" s="4">
        <f t="shared" si="2"/>
        <v>0.50099800399201599</v>
      </c>
      <c r="C52" s="5">
        <v>100.2</v>
      </c>
      <c r="D52" s="5">
        <v>50.2</v>
      </c>
      <c r="E52" s="3" t="s">
        <v>11</v>
      </c>
      <c r="F52" s="6">
        <v>46111.255555555559</v>
      </c>
    </row>
    <row r="53" spans="1:6" x14ac:dyDescent="0.3">
      <c r="A53" s="3">
        <v>52</v>
      </c>
      <c r="B53" s="4">
        <f t="shared" si="2"/>
        <v>0.50659630606860162</v>
      </c>
      <c r="C53" s="5">
        <v>75.8</v>
      </c>
      <c r="D53" s="5">
        <v>38.4</v>
      </c>
      <c r="E53" s="3" t="s">
        <v>11</v>
      </c>
      <c r="F53" s="6">
        <v>46265.620138888888</v>
      </c>
    </row>
    <row r="54" spans="1:6" x14ac:dyDescent="0.3">
      <c r="A54" s="3">
        <v>53</v>
      </c>
      <c r="B54" s="4">
        <f t="shared" si="2"/>
        <v>0.50740740740740742</v>
      </c>
      <c r="C54" s="5">
        <v>81</v>
      </c>
      <c r="D54" s="5">
        <v>41.1</v>
      </c>
      <c r="E54" s="3" t="s">
        <v>7</v>
      </c>
      <c r="F54" s="6">
        <v>46073.915277777778</v>
      </c>
    </row>
    <row r="55" spans="1:6" x14ac:dyDescent="0.3">
      <c r="A55" s="3">
        <v>54</v>
      </c>
      <c r="B55" s="4">
        <f t="shared" si="2"/>
        <v>0.50959232613908867</v>
      </c>
      <c r="C55" s="5">
        <v>83.4</v>
      </c>
      <c r="D55" s="5">
        <v>42.5</v>
      </c>
      <c r="E55" s="3" t="s">
        <v>7</v>
      </c>
      <c r="F55" s="6">
        <v>46171.372916666667</v>
      </c>
    </row>
    <row r="56" spans="1:6" x14ac:dyDescent="0.3">
      <c r="A56" s="3">
        <v>55</v>
      </c>
      <c r="B56" s="4">
        <f t="shared" si="2"/>
        <v>0.51226993865030668</v>
      </c>
      <c r="C56" s="5">
        <v>65.2</v>
      </c>
      <c r="D56" s="5">
        <v>33.4</v>
      </c>
      <c r="E56" s="3" t="s">
        <v>7</v>
      </c>
      <c r="F56" s="6">
        <v>46112.304861111108</v>
      </c>
    </row>
    <row r="57" spans="1:6" x14ac:dyDescent="0.3">
      <c r="A57" s="3">
        <v>56</v>
      </c>
      <c r="B57" s="4">
        <f t="shared" si="2"/>
        <v>0.51277683134582619</v>
      </c>
      <c r="C57" s="5">
        <v>58.7</v>
      </c>
      <c r="D57" s="5">
        <v>30.1</v>
      </c>
      <c r="E57" s="3" t="s">
        <v>11</v>
      </c>
      <c r="F57" s="6">
        <v>46111.476388888892</v>
      </c>
    </row>
    <row r="58" spans="1:6" x14ac:dyDescent="0.3">
      <c r="A58" s="3">
        <v>57</v>
      </c>
      <c r="B58" s="4">
        <f t="shared" si="2"/>
        <v>0.51423487544483981</v>
      </c>
      <c r="C58" s="5">
        <v>56.2</v>
      </c>
      <c r="D58" s="5">
        <v>28.9</v>
      </c>
      <c r="E58" s="3" t="s">
        <v>11</v>
      </c>
      <c r="F58" s="6">
        <v>46092.829861111109</v>
      </c>
    </row>
    <row r="59" spans="1:6" x14ac:dyDescent="0.3">
      <c r="A59" s="3">
        <v>58</v>
      </c>
      <c r="B59" s="4">
        <f t="shared" si="2"/>
        <v>0.52173913043478259</v>
      </c>
      <c r="C59" s="5">
        <v>59.8</v>
      </c>
      <c r="D59" s="5">
        <v>31.2</v>
      </c>
      <c r="E59" s="3" t="s">
        <v>11</v>
      </c>
      <c r="F59" s="6">
        <v>46213.674305555563</v>
      </c>
    </row>
    <row r="60" spans="1:6" x14ac:dyDescent="0.3">
      <c r="A60" s="3">
        <v>59</v>
      </c>
      <c r="B60" s="4">
        <f t="shared" si="2"/>
        <v>0.53457172342621251</v>
      </c>
      <c r="C60" s="5">
        <v>96.9</v>
      </c>
      <c r="D60" s="5">
        <v>51.8</v>
      </c>
      <c r="E60" s="3" t="s">
        <v>7</v>
      </c>
      <c r="F60" s="6">
        <v>46252.303472222222</v>
      </c>
    </row>
    <row r="61" spans="1:6" x14ac:dyDescent="0.3">
      <c r="A61" s="3">
        <v>60</v>
      </c>
      <c r="B61" s="4">
        <f t="shared" si="2"/>
        <v>0.53810975609756095</v>
      </c>
      <c r="C61" s="5">
        <v>65.599999999999994</v>
      </c>
      <c r="D61" s="5">
        <v>35.299999999999997</v>
      </c>
      <c r="E61" s="3" t="s">
        <v>11</v>
      </c>
      <c r="F61" s="6">
        <v>46105.466666666667</v>
      </c>
    </row>
    <row r="62" spans="1:6" x14ac:dyDescent="0.3">
      <c r="A62" s="3">
        <v>61</v>
      </c>
      <c r="B62" s="4">
        <f t="shared" si="2"/>
        <v>0.53981106612685559</v>
      </c>
      <c r="C62" s="5">
        <v>74.099999999999994</v>
      </c>
      <c r="D62" s="5">
        <v>40</v>
      </c>
      <c r="E62" s="3" t="s">
        <v>7</v>
      </c>
      <c r="F62" s="6">
        <v>46233.538888888892</v>
      </c>
    </row>
    <row r="63" spans="1:6" x14ac:dyDescent="0.3">
      <c r="A63" s="3">
        <v>62</v>
      </c>
      <c r="B63" s="4">
        <f t="shared" si="2"/>
        <v>0.54022988505747127</v>
      </c>
      <c r="C63" s="5">
        <v>78.3</v>
      </c>
      <c r="D63" s="5">
        <v>42.3</v>
      </c>
      <c r="E63" s="3" t="s">
        <v>11</v>
      </c>
      <c r="F63" s="6">
        <v>46050.302083333343</v>
      </c>
    </row>
    <row r="64" spans="1:6" x14ac:dyDescent="0.3">
      <c r="A64" s="3">
        <v>63</v>
      </c>
      <c r="B64" s="4">
        <f t="shared" si="2"/>
        <v>0.5415986949429038</v>
      </c>
      <c r="C64" s="5">
        <v>122.6</v>
      </c>
      <c r="D64" s="5">
        <v>66.400000000000006</v>
      </c>
      <c r="E64" s="3" t="s">
        <v>7</v>
      </c>
      <c r="F64" s="6">
        <v>46098.255555555559</v>
      </c>
    </row>
    <row r="65" spans="1:6" x14ac:dyDescent="0.3">
      <c r="A65" s="3">
        <v>64</v>
      </c>
      <c r="B65" s="4">
        <f t="shared" si="2"/>
        <v>0.54519505233111321</v>
      </c>
      <c r="C65" s="5">
        <v>105.1</v>
      </c>
      <c r="D65" s="5">
        <v>57.3</v>
      </c>
      <c r="E65" s="3" t="s">
        <v>7</v>
      </c>
      <c r="F65" s="6">
        <v>46237.416666666657</v>
      </c>
    </row>
    <row r="66" spans="1:6" x14ac:dyDescent="0.3">
      <c r="A66" s="3">
        <v>65</v>
      </c>
      <c r="B66" s="4">
        <f t="shared" ref="B66:B97" si="3">D66/C66</f>
        <v>0.56185155626496419</v>
      </c>
      <c r="C66" s="5">
        <v>125.3</v>
      </c>
      <c r="D66" s="5">
        <v>70.400000000000006</v>
      </c>
      <c r="E66" s="3" t="s">
        <v>11</v>
      </c>
      <c r="F66" s="6">
        <v>46132.668055555558</v>
      </c>
    </row>
    <row r="67" spans="1:6" x14ac:dyDescent="0.3">
      <c r="A67" s="3">
        <v>66</v>
      </c>
      <c r="B67" s="4">
        <f t="shared" si="3"/>
        <v>0.5644699140401146</v>
      </c>
      <c r="C67" s="5">
        <v>69.8</v>
      </c>
      <c r="D67" s="5">
        <v>39.4</v>
      </c>
      <c r="E67" s="3" t="s">
        <v>7</v>
      </c>
      <c r="F67" s="6">
        <v>46254.504861111112</v>
      </c>
    </row>
    <row r="68" spans="1:6" x14ac:dyDescent="0.3">
      <c r="A68" s="3">
        <v>67</v>
      </c>
      <c r="B68" s="4">
        <f t="shared" si="3"/>
        <v>0.56463195691202872</v>
      </c>
      <c r="C68" s="5">
        <v>111.4</v>
      </c>
      <c r="D68" s="5">
        <v>62.9</v>
      </c>
      <c r="E68" s="3" t="s">
        <v>11</v>
      </c>
      <c r="F68" s="6">
        <v>46080.338194444441</v>
      </c>
    </row>
    <row r="69" spans="1:6" x14ac:dyDescent="0.3">
      <c r="A69" s="3">
        <v>68</v>
      </c>
      <c r="B69" s="4">
        <f t="shared" si="3"/>
        <v>0.56934931506849318</v>
      </c>
      <c r="C69" s="5">
        <v>116.8</v>
      </c>
      <c r="D69" s="5">
        <v>66.5</v>
      </c>
      <c r="E69" s="3" t="s">
        <v>7</v>
      </c>
      <c r="F69" s="6">
        <v>46085.064583333333</v>
      </c>
    </row>
    <row r="70" spans="1:6" x14ac:dyDescent="0.3">
      <c r="A70" s="3">
        <v>69</v>
      </c>
      <c r="B70" s="4">
        <f t="shared" si="3"/>
        <v>0.57142857142857151</v>
      </c>
      <c r="C70" s="5">
        <v>100.1</v>
      </c>
      <c r="D70" s="5">
        <v>57.2</v>
      </c>
      <c r="E70" s="3" t="s">
        <v>7</v>
      </c>
      <c r="F70" s="6">
        <v>46085.729166666657</v>
      </c>
    </row>
    <row r="71" spans="1:6" x14ac:dyDescent="0.3">
      <c r="A71" s="3">
        <v>70</v>
      </c>
      <c r="B71" s="4">
        <f t="shared" si="3"/>
        <v>0.57205882352941173</v>
      </c>
      <c r="C71" s="5">
        <v>68</v>
      </c>
      <c r="D71" s="5">
        <v>38.9</v>
      </c>
      <c r="E71" s="3" t="s">
        <v>7</v>
      </c>
      <c r="F71" s="6">
        <v>46199.12222222222</v>
      </c>
    </row>
    <row r="72" spans="1:6" x14ac:dyDescent="0.3">
      <c r="A72" s="3">
        <v>71</v>
      </c>
      <c r="B72" s="4">
        <f t="shared" si="3"/>
        <v>0.57433628318584073</v>
      </c>
      <c r="C72" s="5">
        <v>113</v>
      </c>
      <c r="D72" s="5">
        <v>64.900000000000006</v>
      </c>
      <c r="E72" s="3" t="s">
        <v>11</v>
      </c>
      <c r="F72" s="6">
        <v>46141.00277777778</v>
      </c>
    </row>
    <row r="73" spans="1:6" x14ac:dyDescent="0.3">
      <c r="A73" s="3">
        <v>72</v>
      </c>
      <c r="B73" s="4">
        <f t="shared" si="3"/>
        <v>0.57534246575342463</v>
      </c>
      <c r="C73" s="5">
        <v>87.6</v>
      </c>
      <c r="D73" s="5">
        <v>50.4</v>
      </c>
      <c r="E73" s="3" t="s">
        <v>7</v>
      </c>
      <c r="F73" s="6">
        <v>46206.012499999997</v>
      </c>
    </row>
    <row r="74" spans="1:6" x14ac:dyDescent="0.3">
      <c r="A74" s="3">
        <v>73</v>
      </c>
      <c r="B74" s="4">
        <f t="shared" si="3"/>
        <v>0.58210947930574097</v>
      </c>
      <c r="C74" s="5">
        <v>74.900000000000006</v>
      </c>
      <c r="D74" s="5">
        <v>43.6</v>
      </c>
      <c r="E74" s="3" t="s">
        <v>11</v>
      </c>
      <c r="F74" s="6">
        <v>46184.061111111107</v>
      </c>
    </row>
    <row r="75" spans="1:6" x14ac:dyDescent="0.3">
      <c r="A75" s="3">
        <v>74</v>
      </c>
      <c r="B75" s="4">
        <f t="shared" si="3"/>
        <v>0.58909444985394355</v>
      </c>
      <c r="C75" s="5">
        <v>102.7</v>
      </c>
      <c r="D75" s="5">
        <v>60.5</v>
      </c>
      <c r="E75" s="3" t="s">
        <v>11</v>
      </c>
      <c r="F75" s="6">
        <v>46064.594444444447</v>
      </c>
    </row>
    <row r="76" spans="1:6" x14ac:dyDescent="0.3">
      <c r="A76" s="3">
        <v>75</v>
      </c>
      <c r="B76" s="4">
        <f t="shared" si="3"/>
        <v>0.59466666666666668</v>
      </c>
      <c r="C76" s="5">
        <v>75</v>
      </c>
      <c r="D76" s="5">
        <v>44.6</v>
      </c>
      <c r="E76" s="3" t="s">
        <v>11</v>
      </c>
      <c r="F76" s="6">
        <v>46036.612500000003</v>
      </c>
    </row>
    <row r="77" spans="1:6" x14ac:dyDescent="0.3">
      <c r="A77" s="3">
        <v>76</v>
      </c>
      <c r="B77" s="4">
        <f t="shared" si="3"/>
        <v>0.59788359788359779</v>
      </c>
      <c r="C77" s="5">
        <v>56.7</v>
      </c>
      <c r="D77" s="5">
        <v>33.9</v>
      </c>
      <c r="E77" s="3" t="s">
        <v>7</v>
      </c>
      <c r="F77" s="6">
        <v>46056.795138888891</v>
      </c>
    </row>
    <row r="78" spans="1:6" x14ac:dyDescent="0.3">
      <c r="A78" s="3">
        <v>77</v>
      </c>
      <c r="B78" s="4">
        <f t="shared" si="3"/>
        <v>0.60658307210031359</v>
      </c>
      <c r="C78" s="5">
        <v>63.8</v>
      </c>
      <c r="D78" s="5">
        <v>38.700000000000003</v>
      </c>
      <c r="E78" s="3" t="s">
        <v>7</v>
      </c>
      <c r="F78" s="6">
        <v>46182.00277777778</v>
      </c>
    </row>
    <row r="79" spans="1:6" x14ac:dyDescent="0.3">
      <c r="A79" s="3">
        <v>78</v>
      </c>
      <c r="B79" s="4">
        <f t="shared" si="3"/>
        <v>0.60767790262172294</v>
      </c>
      <c r="C79" s="5">
        <v>106.8</v>
      </c>
      <c r="D79" s="5">
        <v>64.900000000000006</v>
      </c>
      <c r="E79" s="3" t="s">
        <v>7</v>
      </c>
      <c r="F79" s="6">
        <v>46148.706944444442</v>
      </c>
    </row>
    <row r="80" spans="1:6" x14ac:dyDescent="0.3">
      <c r="A80" s="3">
        <v>79</v>
      </c>
      <c r="B80" s="4">
        <f t="shared" si="3"/>
        <v>0.61647361647361643</v>
      </c>
      <c r="C80" s="5">
        <v>77.7</v>
      </c>
      <c r="D80" s="5">
        <v>47.9</v>
      </c>
      <c r="E80" s="3" t="s">
        <v>7</v>
      </c>
      <c r="F80" s="6">
        <v>46122.332638888889</v>
      </c>
    </row>
    <row r="81" spans="1:6" x14ac:dyDescent="0.3">
      <c r="A81" s="3">
        <v>80</v>
      </c>
      <c r="B81" s="4">
        <f t="shared" si="3"/>
        <v>0.61754385964912284</v>
      </c>
      <c r="C81" s="5">
        <v>114</v>
      </c>
      <c r="D81" s="5">
        <v>70.400000000000006</v>
      </c>
      <c r="E81" s="3" t="s">
        <v>7</v>
      </c>
      <c r="F81" s="6">
        <v>46063.96597222222</v>
      </c>
    </row>
    <row r="82" spans="1:6" x14ac:dyDescent="0.3">
      <c r="A82" s="3">
        <v>81</v>
      </c>
      <c r="B82" s="4">
        <f t="shared" si="3"/>
        <v>0.6183035714285714</v>
      </c>
      <c r="C82" s="5">
        <v>89.6</v>
      </c>
      <c r="D82" s="5">
        <v>55.4</v>
      </c>
      <c r="E82" s="3" t="s">
        <v>11</v>
      </c>
      <c r="F82" s="6">
        <v>46083.144444444442</v>
      </c>
    </row>
    <row r="83" spans="1:6" x14ac:dyDescent="0.3">
      <c r="A83" s="3">
        <v>82</v>
      </c>
      <c r="B83" s="4">
        <f t="shared" si="3"/>
        <v>0.62181818181818183</v>
      </c>
      <c r="C83" s="5">
        <v>82.5</v>
      </c>
      <c r="D83" s="5">
        <v>51.3</v>
      </c>
      <c r="E83" s="3" t="s">
        <v>11</v>
      </c>
      <c r="F83" s="6">
        <v>46052.330555555563</v>
      </c>
    </row>
    <row r="84" spans="1:6" x14ac:dyDescent="0.3">
      <c r="A84" s="3">
        <v>83</v>
      </c>
      <c r="B84" s="4">
        <f t="shared" si="3"/>
        <v>0.6271929824561403</v>
      </c>
      <c r="C84" s="5">
        <v>68.400000000000006</v>
      </c>
      <c r="D84" s="5">
        <v>42.9</v>
      </c>
      <c r="E84" s="3" t="s">
        <v>11</v>
      </c>
      <c r="F84" s="6">
        <v>46224.297222222223</v>
      </c>
    </row>
    <row r="85" spans="1:6" x14ac:dyDescent="0.3">
      <c r="A85" s="3">
        <v>84</v>
      </c>
      <c r="B85" s="4">
        <f t="shared" si="3"/>
        <v>0.62797927461139902</v>
      </c>
      <c r="C85" s="5">
        <v>96.5</v>
      </c>
      <c r="D85" s="5">
        <v>60.6</v>
      </c>
      <c r="E85" s="3" t="s">
        <v>11</v>
      </c>
      <c r="F85" s="6">
        <v>46108.648611111108</v>
      </c>
    </row>
    <row r="86" spans="1:6" x14ac:dyDescent="0.3">
      <c r="A86" s="3">
        <v>85</v>
      </c>
      <c r="B86" s="4">
        <f t="shared" si="3"/>
        <v>0.63033707865168542</v>
      </c>
      <c r="C86" s="5">
        <v>89</v>
      </c>
      <c r="D86" s="5">
        <v>56.1</v>
      </c>
      <c r="E86" s="3" t="s">
        <v>7</v>
      </c>
      <c r="F86" s="6">
        <v>46079.388888888891</v>
      </c>
    </row>
    <row r="87" spans="1:6" x14ac:dyDescent="0.3">
      <c r="A87" s="3">
        <v>86</v>
      </c>
      <c r="B87" s="4">
        <f t="shared" si="3"/>
        <v>0.63046757164404221</v>
      </c>
      <c r="C87" s="5">
        <v>66.3</v>
      </c>
      <c r="D87" s="5">
        <v>41.8</v>
      </c>
      <c r="E87" s="3" t="s">
        <v>7</v>
      </c>
      <c r="F87" s="6">
        <v>46147.873611111107</v>
      </c>
    </row>
    <row r="88" spans="1:6" x14ac:dyDescent="0.3">
      <c r="A88" s="3">
        <v>87</v>
      </c>
      <c r="B88" s="4">
        <f t="shared" si="3"/>
        <v>0.63727678571428581</v>
      </c>
      <c r="C88" s="5">
        <v>89.6</v>
      </c>
      <c r="D88" s="5">
        <v>57.1</v>
      </c>
      <c r="E88" s="3" t="s">
        <v>7</v>
      </c>
      <c r="F88" s="6">
        <v>46119.095138888893</v>
      </c>
    </row>
    <row r="89" spans="1:6" x14ac:dyDescent="0.3">
      <c r="A89" s="3">
        <v>88</v>
      </c>
      <c r="B89" s="4">
        <f t="shared" si="3"/>
        <v>0.6395089285714286</v>
      </c>
      <c r="C89" s="5">
        <v>89.6</v>
      </c>
      <c r="D89" s="5">
        <v>57.3</v>
      </c>
      <c r="E89" s="3" t="s">
        <v>7</v>
      </c>
      <c r="F89" s="6">
        <v>46024.476388888892</v>
      </c>
    </row>
    <row r="90" spans="1:6" x14ac:dyDescent="0.3">
      <c r="A90" s="3">
        <v>89</v>
      </c>
      <c r="B90" s="4">
        <f t="shared" si="3"/>
        <v>0.6455542021924483</v>
      </c>
      <c r="C90" s="5">
        <v>82.1</v>
      </c>
      <c r="D90" s="5">
        <v>53</v>
      </c>
      <c r="E90" s="3" t="s">
        <v>7</v>
      </c>
      <c r="F90" s="6">
        <v>46104.504861111112</v>
      </c>
    </row>
    <row r="91" spans="1:6" x14ac:dyDescent="0.3">
      <c r="A91" s="3">
        <v>90</v>
      </c>
      <c r="B91" s="4">
        <f t="shared" si="3"/>
        <v>0.65625</v>
      </c>
      <c r="C91" s="5">
        <v>80</v>
      </c>
      <c r="D91" s="5">
        <v>52.5</v>
      </c>
      <c r="E91" s="3" t="s">
        <v>7</v>
      </c>
      <c r="F91" s="6">
        <v>46182.695138888892</v>
      </c>
    </row>
    <row r="92" spans="1:6" x14ac:dyDescent="0.3">
      <c r="A92" s="3">
        <v>91</v>
      </c>
      <c r="B92" s="4">
        <f t="shared" si="3"/>
        <v>0.65909090909090906</v>
      </c>
      <c r="C92" s="5">
        <v>57.2</v>
      </c>
      <c r="D92" s="5">
        <v>37.700000000000003</v>
      </c>
      <c r="E92" s="3" t="s">
        <v>11</v>
      </c>
      <c r="F92" s="6">
        <v>46258.042361111111</v>
      </c>
    </row>
    <row r="93" spans="1:6" x14ac:dyDescent="0.3">
      <c r="A93" s="3">
        <v>92</v>
      </c>
      <c r="B93" s="4">
        <f t="shared" si="3"/>
        <v>0.66203059805285114</v>
      </c>
      <c r="C93" s="5">
        <v>71.900000000000006</v>
      </c>
      <c r="D93" s="5">
        <v>47.6</v>
      </c>
      <c r="E93" s="3" t="s">
        <v>11</v>
      </c>
      <c r="F93" s="6">
        <v>46099.75</v>
      </c>
    </row>
    <row r="94" spans="1:6" x14ac:dyDescent="0.3">
      <c r="A94" s="3">
        <v>93</v>
      </c>
      <c r="B94" s="4">
        <f t="shared" si="3"/>
        <v>0.66802168021680219</v>
      </c>
      <c r="C94" s="5">
        <v>73.8</v>
      </c>
      <c r="D94" s="5">
        <v>49.3</v>
      </c>
      <c r="E94" s="3" t="s">
        <v>7</v>
      </c>
      <c r="F94" s="6">
        <v>46119.588888888888</v>
      </c>
    </row>
    <row r="95" spans="1:6" x14ac:dyDescent="0.3">
      <c r="A95" s="3">
        <v>94</v>
      </c>
      <c r="B95" s="4">
        <f t="shared" si="3"/>
        <v>0.67023172905525852</v>
      </c>
      <c r="C95" s="5">
        <v>56.1</v>
      </c>
      <c r="D95" s="5">
        <v>37.6</v>
      </c>
      <c r="E95" s="3" t="s">
        <v>11</v>
      </c>
      <c r="F95" s="6">
        <v>46079.556250000001</v>
      </c>
    </row>
    <row r="96" spans="1:6" x14ac:dyDescent="0.3">
      <c r="A96" s="3">
        <v>95</v>
      </c>
      <c r="B96" s="4">
        <f t="shared" si="3"/>
        <v>0.67185628742514969</v>
      </c>
      <c r="C96" s="5">
        <v>83.5</v>
      </c>
      <c r="D96" s="5">
        <v>56.1</v>
      </c>
      <c r="E96" s="3" t="s">
        <v>7</v>
      </c>
      <c r="F96" s="6">
        <v>46056.499305555553</v>
      </c>
    </row>
    <row r="97" spans="1:6" x14ac:dyDescent="0.3">
      <c r="A97" s="3">
        <v>96</v>
      </c>
      <c r="B97" s="4">
        <f t="shared" si="3"/>
        <v>0.67380136986301375</v>
      </c>
      <c r="C97" s="5">
        <v>116.8</v>
      </c>
      <c r="D97" s="5">
        <v>78.7</v>
      </c>
      <c r="E97" s="3" t="s">
        <v>7</v>
      </c>
      <c r="F97" s="6">
        <v>46169.496527777781</v>
      </c>
    </row>
    <row r="98" spans="1:6" x14ac:dyDescent="0.3">
      <c r="A98" s="3">
        <v>97</v>
      </c>
      <c r="B98" s="4">
        <f t="shared" ref="B98:B129" si="4">D98/C98</f>
        <v>0.6752232142857143</v>
      </c>
      <c r="C98" s="5">
        <v>89.6</v>
      </c>
      <c r="D98" s="5">
        <v>60.5</v>
      </c>
      <c r="E98" s="3" t="s">
        <v>7</v>
      </c>
      <c r="F98" s="6">
        <v>46152.918749999997</v>
      </c>
    </row>
    <row r="99" spans="1:6" x14ac:dyDescent="0.3">
      <c r="A99" s="3">
        <v>98</v>
      </c>
      <c r="B99" s="4">
        <f t="shared" si="4"/>
        <v>0.67732962447844225</v>
      </c>
      <c r="C99" s="5">
        <v>71.900000000000006</v>
      </c>
      <c r="D99" s="5">
        <v>48.7</v>
      </c>
      <c r="E99" s="3" t="s">
        <v>11</v>
      </c>
      <c r="F99" s="6">
        <v>46092.201388888891</v>
      </c>
    </row>
    <row r="100" spans="1:6" x14ac:dyDescent="0.3">
      <c r="A100" s="3">
        <v>99</v>
      </c>
      <c r="B100" s="4">
        <f t="shared" si="4"/>
        <v>0.67853107344632768</v>
      </c>
      <c r="C100" s="5">
        <v>177</v>
      </c>
      <c r="D100" s="5">
        <v>120.1</v>
      </c>
      <c r="E100" s="3" t="s">
        <v>7</v>
      </c>
      <c r="F100" s="6">
        <v>46104.472916666673</v>
      </c>
    </row>
    <row r="101" spans="1:6" x14ac:dyDescent="0.3">
      <c r="A101" s="3">
        <v>100</v>
      </c>
      <c r="B101" s="4">
        <f t="shared" si="4"/>
        <v>0.68359700249791844</v>
      </c>
      <c r="C101" s="5">
        <v>120.1</v>
      </c>
      <c r="D101" s="5">
        <v>82.1</v>
      </c>
      <c r="E101" s="3" t="s">
        <v>11</v>
      </c>
      <c r="F101" s="6">
        <v>46104.484027777777</v>
      </c>
    </row>
    <row r="102" spans="1:6" x14ac:dyDescent="0.3">
      <c r="A102" s="3">
        <v>101</v>
      </c>
      <c r="B102" s="4">
        <f t="shared" si="4"/>
        <v>0.68715846994535512</v>
      </c>
      <c r="C102" s="5">
        <v>73.2</v>
      </c>
      <c r="D102" s="5">
        <v>50.3</v>
      </c>
      <c r="E102" s="3" t="s">
        <v>7</v>
      </c>
      <c r="F102" s="6">
        <v>46203.521527777782</v>
      </c>
    </row>
    <row r="103" spans="1:6" x14ac:dyDescent="0.3">
      <c r="A103" s="3">
        <v>102</v>
      </c>
      <c r="B103" s="4">
        <f t="shared" si="4"/>
        <v>0.68776371308016881</v>
      </c>
      <c r="C103" s="5">
        <v>94.8</v>
      </c>
      <c r="D103" s="5">
        <v>65.2</v>
      </c>
      <c r="E103" s="3" t="s">
        <v>11</v>
      </c>
      <c r="F103" s="6">
        <v>46112.063888888893</v>
      </c>
    </row>
    <row r="104" spans="1:6" x14ac:dyDescent="0.3">
      <c r="A104" s="3">
        <v>103</v>
      </c>
      <c r="B104" s="4">
        <f t="shared" si="4"/>
        <v>0.69158878504672883</v>
      </c>
      <c r="C104" s="5">
        <v>74.900000000000006</v>
      </c>
      <c r="D104" s="5">
        <v>51.8</v>
      </c>
      <c r="E104" s="3" t="s">
        <v>11</v>
      </c>
      <c r="F104" s="6">
        <v>46218.263194444437</v>
      </c>
    </row>
    <row r="105" spans="1:6" x14ac:dyDescent="0.3">
      <c r="A105" s="3">
        <v>104</v>
      </c>
      <c r="B105" s="4">
        <f t="shared" si="4"/>
        <v>0.6973564266180492</v>
      </c>
      <c r="C105" s="5">
        <v>109.7</v>
      </c>
      <c r="D105" s="5">
        <v>76.5</v>
      </c>
      <c r="E105" s="3" t="s">
        <v>7</v>
      </c>
      <c r="F105" s="6">
        <v>46234.569444444453</v>
      </c>
    </row>
    <row r="106" spans="1:6" x14ac:dyDescent="0.3">
      <c r="A106" s="3">
        <v>105</v>
      </c>
      <c r="B106" s="4">
        <f t="shared" si="4"/>
        <v>0.7</v>
      </c>
      <c r="C106" s="5">
        <v>57</v>
      </c>
      <c r="D106" s="5">
        <v>39.9</v>
      </c>
      <c r="E106" s="3" t="s">
        <v>11</v>
      </c>
      <c r="F106" s="6">
        <v>46135.619444444441</v>
      </c>
    </row>
    <row r="107" spans="1:6" x14ac:dyDescent="0.3">
      <c r="A107" s="3">
        <v>106</v>
      </c>
      <c r="B107" s="4">
        <f t="shared" si="4"/>
        <v>0.70312499999999989</v>
      </c>
      <c r="C107" s="5">
        <v>70.400000000000006</v>
      </c>
      <c r="D107" s="5">
        <v>49.5</v>
      </c>
      <c r="E107" s="3" t="s">
        <v>7</v>
      </c>
      <c r="F107" s="6">
        <v>46049.361805555563</v>
      </c>
    </row>
    <row r="108" spans="1:6" x14ac:dyDescent="0.3">
      <c r="A108" s="3">
        <v>107</v>
      </c>
      <c r="B108" s="4">
        <f t="shared" si="4"/>
        <v>0.71047430830039526</v>
      </c>
      <c r="C108" s="5">
        <v>101.2</v>
      </c>
      <c r="D108" s="5">
        <v>71.900000000000006</v>
      </c>
      <c r="E108" s="3" t="s">
        <v>7</v>
      </c>
      <c r="F108" s="6">
        <v>46099.601388888892</v>
      </c>
    </row>
    <row r="109" spans="1:6" x14ac:dyDescent="0.3">
      <c r="A109" s="3">
        <v>108</v>
      </c>
      <c r="B109" s="4">
        <f t="shared" si="4"/>
        <v>0.715034965034965</v>
      </c>
      <c r="C109" s="5">
        <v>57.2</v>
      </c>
      <c r="D109" s="5">
        <v>40.9</v>
      </c>
      <c r="E109" s="3" t="s">
        <v>11</v>
      </c>
      <c r="F109" s="6">
        <v>46086.061805555553</v>
      </c>
    </row>
    <row r="110" spans="1:6" x14ac:dyDescent="0.3">
      <c r="A110" s="3">
        <v>109</v>
      </c>
      <c r="B110" s="4">
        <f t="shared" si="4"/>
        <v>0.72106824925816015</v>
      </c>
      <c r="C110" s="5">
        <v>67.400000000000006</v>
      </c>
      <c r="D110" s="5">
        <v>48.6</v>
      </c>
      <c r="E110" s="3" t="s">
        <v>11</v>
      </c>
      <c r="F110" s="6">
        <v>46156.011805555558</v>
      </c>
    </row>
    <row r="111" spans="1:6" x14ac:dyDescent="0.3">
      <c r="A111" s="3">
        <v>110</v>
      </c>
      <c r="B111" s="4">
        <f t="shared" si="4"/>
        <v>0.72233009708737872</v>
      </c>
      <c r="C111" s="5">
        <v>103</v>
      </c>
      <c r="D111" s="5">
        <v>74.400000000000006</v>
      </c>
      <c r="E111" s="3" t="s">
        <v>7</v>
      </c>
      <c r="F111" s="6">
        <v>46162.347916666673</v>
      </c>
    </row>
    <row r="112" spans="1:6" x14ac:dyDescent="0.3">
      <c r="A112" s="3">
        <v>111</v>
      </c>
      <c r="B112" s="4">
        <f t="shared" si="4"/>
        <v>0.73128342245989308</v>
      </c>
      <c r="C112" s="5">
        <v>74.8</v>
      </c>
      <c r="D112" s="5">
        <v>54.7</v>
      </c>
      <c r="E112" s="3" t="s">
        <v>11</v>
      </c>
      <c r="F112" s="6">
        <v>46058.566666666673</v>
      </c>
    </row>
    <row r="113" spans="1:6" x14ac:dyDescent="0.3">
      <c r="A113" s="3">
        <v>112</v>
      </c>
      <c r="B113" s="4">
        <f t="shared" si="4"/>
        <v>0.73277074542897336</v>
      </c>
      <c r="C113" s="5">
        <v>71.099999999999994</v>
      </c>
      <c r="D113" s="5">
        <v>52.1</v>
      </c>
      <c r="E113" s="3" t="s">
        <v>11</v>
      </c>
      <c r="F113" s="6">
        <v>46177.5</v>
      </c>
    </row>
    <row r="114" spans="1:6" x14ac:dyDescent="0.3">
      <c r="A114" s="3">
        <v>113</v>
      </c>
      <c r="B114" s="4">
        <f t="shared" si="4"/>
        <v>0.73430656934306571</v>
      </c>
      <c r="C114" s="5">
        <v>68.5</v>
      </c>
      <c r="D114" s="5">
        <v>50.3</v>
      </c>
      <c r="E114" s="3" t="s">
        <v>11</v>
      </c>
      <c r="F114" s="6">
        <v>46080.851388888892</v>
      </c>
    </row>
    <row r="115" spans="1:6" x14ac:dyDescent="0.3">
      <c r="A115" s="3">
        <v>114</v>
      </c>
      <c r="B115" s="4">
        <f t="shared" si="4"/>
        <v>0.73969072164948457</v>
      </c>
      <c r="C115" s="5">
        <v>77.599999999999994</v>
      </c>
      <c r="D115" s="5">
        <v>57.4</v>
      </c>
      <c r="E115" s="3" t="s">
        <v>7</v>
      </c>
      <c r="F115" s="6">
        <v>46195.345138888893</v>
      </c>
    </row>
    <row r="116" spans="1:6" x14ac:dyDescent="0.3">
      <c r="A116" s="3">
        <v>115</v>
      </c>
      <c r="B116" s="4">
        <f t="shared" si="4"/>
        <v>0.74011857707509887</v>
      </c>
      <c r="C116" s="5">
        <v>101.2</v>
      </c>
      <c r="D116" s="5">
        <v>74.900000000000006</v>
      </c>
      <c r="E116" s="3" t="s">
        <v>7</v>
      </c>
      <c r="F116" s="6">
        <v>46217.72152777778</v>
      </c>
    </row>
    <row r="117" spans="1:6" x14ac:dyDescent="0.3">
      <c r="A117" s="3">
        <v>116</v>
      </c>
      <c r="B117" s="4">
        <f t="shared" si="4"/>
        <v>0.74560117302052786</v>
      </c>
      <c r="C117" s="5">
        <v>136.4</v>
      </c>
      <c r="D117" s="5">
        <v>101.7</v>
      </c>
      <c r="E117" s="3" t="s">
        <v>7</v>
      </c>
      <c r="F117" s="6">
        <v>46104.668749999997</v>
      </c>
    </row>
    <row r="118" spans="1:6" x14ac:dyDescent="0.3">
      <c r="A118" s="3">
        <v>117</v>
      </c>
      <c r="B118" s="4">
        <f t="shared" si="4"/>
        <v>0.74751773049645398</v>
      </c>
      <c r="C118" s="5">
        <v>70.5</v>
      </c>
      <c r="D118" s="5">
        <v>52.7</v>
      </c>
      <c r="E118" s="3" t="s">
        <v>11</v>
      </c>
      <c r="F118" s="6">
        <v>46189.664583333331</v>
      </c>
    </row>
    <row r="119" spans="1:6" x14ac:dyDescent="0.3">
      <c r="A119" s="3">
        <v>118</v>
      </c>
      <c r="B119" s="4">
        <f t="shared" si="4"/>
        <v>0.75072463768115949</v>
      </c>
      <c r="C119" s="5">
        <v>103.5</v>
      </c>
      <c r="D119" s="5">
        <v>77.7</v>
      </c>
      <c r="E119" s="3" t="s">
        <v>11</v>
      </c>
      <c r="F119" s="6">
        <v>46121.736111111109</v>
      </c>
    </row>
    <row r="120" spans="1:6" x14ac:dyDescent="0.3">
      <c r="A120" s="3">
        <v>119</v>
      </c>
      <c r="B120" s="4">
        <f t="shared" si="4"/>
        <v>0.75510204081632659</v>
      </c>
      <c r="C120" s="5">
        <v>68.599999999999994</v>
      </c>
      <c r="D120" s="5">
        <v>51.8</v>
      </c>
      <c r="E120" s="3" t="s">
        <v>7</v>
      </c>
      <c r="F120" s="6">
        <v>46241.447222222218</v>
      </c>
    </row>
    <row r="121" spans="1:6" x14ac:dyDescent="0.3">
      <c r="A121" s="3">
        <v>120</v>
      </c>
      <c r="B121" s="4">
        <f t="shared" si="4"/>
        <v>0.75931232091690548</v>
      </c>
      <c r="C121" s="5">
        <v>69.8</v>
      </c>
      <c r="D121" s="5">
        <v>53</v>
      </c>
      <c r="E121" s="3" t="s">
        <v>7</v>
      </c>
      <c r="F121" s="6">
        <v>46091.520833333343</v>
      </c>
    </row>
    <row r="122" spans="1:6" x14ac:dyDescent="0.3">
      <c r="A122" s="3">
        <v>121</v>
      </c>
      <c r="B122" s="4">
        <f t="shared" si="4"/>
        <v>0.75939849624060152</v>
      </c>
      <c r="C122" s="5">
        <v>66.5</v>
      </c>
      <c r="D122" s="5">
        <v>50.5</v>
      </c>
      <c r="E122" s="3" t="s">
        <v>7</v>
      </c>
      <c r="F122" s="6">
        <v>46077.915972222218</v>
      </c>
    </row>
    <row r="123" spans="1:6" x14ac:dyDescent="0.3">
      <c r="A123" s="3">
        <v>122</v>
      </c>
      <c r="B123" s="4">
        <f t="shared" si="4"/>
        <v>0.76061776061776065</v>
      </c>
      <c r="C123" s="5">
        <v>51.8</v>
      </c>
      <c r="D123" s="5">
        <v>39.4</v>
      </c>
      <c r="E123" s="3" t="s">
        <v>7</v>
      </c>
      <c r="F123" s="6">
        <v>46218.43472222222</v>
      </c>
    </row>
    <row r="124" spans="1:6" x14ac:dyDescent="0.3">
      <c r="A124" s="3">
        <v>123</v>
      </c>
      <c r="B124" s="4">
        <f t="shared" si="4"/>
        <v>0.76548089591567847</v>
      </c>
      <c r="C124" s="5">
        <v>75.900000000000006</v>
      </c>
      <c r="D124" s="5">
        <v>58.1</v>
      </c>
      <c r="E124" s="3" t="s">
        <v>11</v>
      </c>
      <c r="F124" s="6">
        <v>46058.499305555553</v>
      </c>
    </row>
    <row r="125" spans="1:6" x14ac:dyDescent="0.3">
      <c r="A125" s="3">
        <v>124</v>
      </c>
      <c r="B125" s="4">
        <f t="shared" si="4"/>
        <v>0.78190045248868778</v>
      </c>
      <c r="C125" s="5">
        <v>110.5</v>
      </c>
      <c r="D125" s="5">
        <v>86.4</v>
      </c>
      <c r="E125" s="3" t="s">
        <v>11</v>
      </c>
      <c r="F125" s="6">
        <v>46071.43472222222</v>
      </c>
    </row>
    <row r="126" spans="1:6" x14ac:dyDescent="0.3">
      <c r="A126" s="3">
        <v>125</v>
      </c>
      <c r="B126" s="4">
        <f t="shared" si="4"/>
        <v>0.78625954198473269</v>
      </c>
      <c r="C126" s="5">
        <v>91.7</v>
      </c>
      <c r="D126" s="5">
        <v>72.099999999999994</v>
      </c>
      <c r="E126" s="3" t="s">
        <v>11</v>
      </c>
      <c r="F126" s="6">
        <v>46052.006249999999</v>
      </c>
    </row>
    <row r="127" spans="1:6" x14ac:dyDescent="0.3">
      <c r="A127" s="3">
        <v>126</v>
      </c>
      <c r="B127" s="4">
        <f t="shared" si="4"/>
        <v>0.78715814506539838</v>
      </c>
      <c r="C127" s="5">
        <v>84.1</v>
      </c>
      <c r="D127" s="5">
        <v>66.2</v>
      </c>
      <c r="E127" s="3" t="s">
        <v>7</v>
      </c>
      <c r="F127" s="6">
        <v>46106.315972222219</v>
      </c>
    </row>
    <row r="128" spans="1:6" x14ac:dyDescent="0.3">
      <c r="A128" s="3">
        <v>127</v>
      </c>
      <c r="B128" s="4">
        <f t="shared" si="4"/>
        <v>0.79166666666666663</v>
      </c>
      <c r="C128" s="5">
        <v>141.6</v>
      </c>
      <c r="D128" s="5">
        <v>112.1</v>
      </c>
      <c r="E128" s="3" t="s">
        <v>11</v>
      </c>
      <c r="F128" s="6">
        <v>46083.492361111108</v>
      </c>
    </row>
    <row r="129" spans="1:6" x14ac:dyDescent="0.3">
      <c r="A129" s="3">
        <v>128</v>
      </c>
      <c r="B129" s="4">
        <f t="shared" si="4"/>
        <v>0.79252704031465082</v>
      </c>
      <c r="C129" s="5">
        <v>101.7</v>
      </c>
      <c r="D129" s="5">
        <v>80.599999999999994</v>
      </c>
      <c r="E129" s="3" t="s">
        <v>11</v>
      </c>
      <c r="F129" s="6">
        <v>46104.775694444441</v>
      </c>
    </row>
    <row r="130" spans="1:6" x14ac:dyDescent="0.3">
      <c r="A130" s="3">
        <v>129</v>
      </c>
      <c r="B130" s="4">
        <f t="shared" ref="B130:B161" si="5">D130/C130</f>
        <v>0.7946428571428571</v>
      </c>
      <c r="C130" s="5">
        <v>67.2</v>
      </c>
      <c r="D130" s="5">
        <v>53.4</v>
      </c>
      <c r="E130" s="3" t="s">
        <v>11</v>
      </c>
      <c r="F130" s="6">
        <v>46051.613888888889</v>
      </c>
    </row>
    <row r="131" spans="1:6" x14ac:dyDescent="0.3">
      <c r="A131" s="3">
        <v>130</v>
      </c>
      <c r="B131" s="4">
        <f t="shared" si="5"/>
        <v>0.79638752052545159</v>
      </c>
      <c r="C131" s="5">
        <v>60.9</v>
      </c>
      <c r="D131" s="5">
        <v>48.5</v>
      </c>
      <c r="E131" s="3" t="s">
        <v>11</v>
      </c>
      <c r="F131" s="6">
        <v>46093.490972222222</v>
      </c>
    </row>
    <row r="132" spans="1:6" x14ac:dyDescent="0.3">
      <c r="A132" s="3">
        <v>131</v>
      </c>
      <c r="B132" s="4">
        <f t="shared" si="5"/>
        <v>0.79640718562874246</v>
      </c>
      <c r="C132" s="5">
        <v>50.1</v>
      </c>
      <c r="D132" s="5">
        <v>39.9</v>
      </c>
      <c r="E132" s="3" t="s">
        <v>11</v>
      </c>
      <c r="F132" s="6">
        <v>46104.068055555559</v>
      </c>
    </row>
    <row r="133" spans="1:6" x14ac:dyDescent="0.3">
      <c r="A133" s="3">
        <v>132</v>
      </c>
      <c r="B133" s="4">
        <f t="shared" si="5"/>
        <v>0.79661016949152541</v>
      </c>
      <c r="C133" s="5">
        <v>70.8</v>
      </c>
      <c r="D133" s="5">
        <v>56.4</v>
      </c>
      <c r="E133" s="3" t="s">
        <v>11</v>
      </c>
      <c r="F133" s="6">
        <v>46107.611111111109</v>
      </c>
    </row>
    <row r="134" spans="1:6" x14ac:dyDescent="0.3">
      <c r="A134" s="3">
        <v>133</v>
      </c>
      <c r="B134" s="4">
        <f t="shared" si="5"/>
        <v>0.8</v>
      </c>
      <c r="C134" s="5">
        <v>56.5</v>
      </c>
      <c r="D134" s="5">
        <v>45.2</v>
      </c>
      <c r="E134" s="3" t="s">
        <v>11</v>
      </c>
      <c r="F134" s="6">
        <v>46216.345138888893</v>
      </c>
    </row>
    <row r="135" spans="1:6" x14ac:dyDescent="0.3">
      <c r="A135" s="3">
        <v>134</v>
      </c>
      <c r="B135" s="4">
        <f t="shared" si="5"/>
        <v>0.80586907449209944</v>
      </c>
      <c r="C135" s="5">
        <v>88.6</v>
      </c>
      <c r="D135" s="5">
        <v>71.400000000000006</v>
      </c>
      <c r="E135" s="3" t="s">
        <v>7</v>
      </c>
      <c r="F135" s="6">
        <v>46163.570833333331</v>
      </c>
    </row>
    <row r="136" spans="1:6" x14ac:dyDescent="0.3">
      <c r="A136" s="3">
        <v>135</v>
      </c>
      <c r="B136" s="4">
        <f t="shared" si="5"/>
        <v>0.80729166666666663</v>
      </c>
      <c r="C136" s="5">
        <v>57.6</v>
      </c>
      <c r="D136" s="5">
        <v>46.5</v>
      </c>
      <c r="E136" s="3" t="s">
        <v>7</v>
      </c>
      <c r="F136" s="6">
        <v>46198.497916666667</v>
      </c>
    </row>
    <row r="137" spans="1:6" x14ac:dyDescent="0.3">
      <c r="A137" s="3">
        <v>136</v>
      </c>
      <c r="B137" s="4">
        <f t="shared" si="5"/>
        <v>0.8120393120393119</v>
      </c>
      <c r="C137" s="5">
        <v>81.400000000000006</v>
      </c>
      <c r="D137" s="5">
        <v>66.099999999999994</v>
      </c>
      <c r="E137" s="3" t="s">
        <v>7</v>
      </c>
      <c r="F137" s="6">
        <v>46042.836111111108</v>
      </c>
    </row>
    <row r="138" spans="1:6" x14ac:dyDescent="0.3">
      <c r="A138" s="3">
        <v>137</v>
      </c>
      <c r="B138" s="4">
        <f t="shared" si="5"/>
        <v>0.81770145310435927</v>
      </c>
      <c r="C138" s="5">
        <v>75.7</v>
      </c>
      <c r="D138" s="5">
        <v>61.9</v>
      </c>
      <c r="E138" s="3" t="s">
        <v>7</v>
      </c>
      <c r="F138" s="6">
        <v>46087.599305555559</v>
      </c>
    </row>
    <row r="139" spans="1:6" x14ac:dyDescent="0.3">
      <c r="A139" s="3">
        <v>138</v>
      </c>
      <c r="B139" s="4">
        <f t="shared" si="5"/>
        <v>0.824585635359116</v>
      </c>
      <c r="C139" s="5">
        <v>72.400000000000006</v>
      </c>
      <c r="D139" s="5">
        <v>59.7</v>
      </c>
      <c r="E139" s="3" t="s">
        <v>11</v>
      </c>
      <c r="F139" s="6">
        <v>46105.300694444442</v>
      </c>
    </row>
    <row r="140" spans="1:6" x14ac:dyDescent="0.3">
      <c r="A140" s="3">
        <v>139</v>
      </c>
      <c r="B140" s="4">
        <f t="shared" si="5"/>
        <v>0.82625482625482627</v>
      </c>
      <c r="C140" s="5">
        <v>51.8</v>
      </c>
      <c r="D140" s="5">
        <v>42.8</v>
      </c>
      <c r="E140" s="3" t="s">
        <v>7</v>
      </c>
      <c r="F140" s="6">
        <v>46201.930555555547</v>
      </c>
    </row>
    <row r="141" spans="1:6" x14ac:dyDescent="0.3">
      <c r="A141" s="3">
        <v>140</v>
      </c>
      <c r="B141" s="4">
        <f t="shared" si="5"/>
        <v>0.82857142857142851</v>
      </c>
      <c r="C141" s="5">
        <v>59.5</v>
      </c>
      <c r="D141" s="5">
        <v>49.3</v>
      </c>
      <c r="E141" s="3" t="s">
        <v>11</v>
      </c>
      <c r="F141" s="6">
        <v>46076.625694444447</v>
      </c>
    </row>
    <row r="142" spans="1:6" x14ac:dyDescent="0.3">
      <c r="A142" s="3">
        <v>141</v>
      </c>
      <c r="B142" s="4">
        <f t="shared" si="5"/>
        <v>0.82896764252696442</v>
      </c>
      <c r="C142" s="5">
        <v>64.900000000000006</v>
      </c>
      <c r="D142" s="5">
        <v>53.8</v>
      </c>
      <c r="E142" s="3" t="s">
        <v>11</v>
      </c>
      <c r="F142" s="6">
        <v>46149.625</v>
      </c>
    </row>
    <row r="143" spans="1:6" x14ac:dyDescent="0.3">
      <c r="A143" s="3">
        <v>142</v>
      </c>
      <c r="B143" s="4">
        <f t="shared" si="5"/>
        <v>0.82905982905982911</v>
      </c>
      <c r="C143" s="5">
        <v>81.900000000000006</v>
      </c>
      <c r="D143" s="5">
        <v>67.900000000000006</v>
      </c>
      <c r="E143" s="3" t="s">
        <v>7</v>
      </c>
      <c r="F143" s="6">
        <v>46087.515972222223</v>
      </c>
    </row>
    <row r="144" spans="1:6" x14ac:dyDescent="0.3">
      <c r="A144" s="3">
        <v>143</v>
      </c>
      <c r="B144" s="4">
        <f t="shared" si="5"/>
        <v>0.83357452966714918</v>
      </c>
      <c r="C144" s="5">
        <v>69.099999999999994</v>
      </c>
      <c r="D144" s="5">
        <v>57.6</v>
      </c>
      <c r="E144" s="3" t="s">
        <v>11</v>
      </c>
      <c r="F144" s="6">
        <v>46198.396527777782</v>
      </c>
    </row>
    <row r="145" spans="1:6" x14ac:dyDescent="0.3">
      <c r="A145" s="3">
        <v>144</v>
      </c>
      <c r="B145" s="4">
        <f t="shared" si="5"/>
        <v>0.83554817275747495</v>
      </c>
      <c r="C145" s="5">
        <v>60.2</v>
      </c>
      <c r="D145" s="5">
        <v>50.3</v>
      </c>
      <c r="E145" s="3" t="s">
        <v>11</v>
      </c>
      <c r="F145" s="6">
        <v>46034.057638888888</v>
      </c>
    </row>
    <row r="146" spans="1:6" x14ac:dyDescent="0.3">
      <c r="A146" s="3">
        <v>145</v>
      </c>
      <c r="B146" s="4">
        <f t="shared" si="5"/>
        <v>0.84106891701828412</v>
      </c>
      <c r="C146" s="5">
        <v>71.099999999999994</v>
      </c>
      <c r="D146" s="5">
        <v>59.8</v>
      </c>
      <c r="E146" s="3" t="s">
        <v>7</v>
      </c>
      <c r="F146" s="6">
        <v>46213.606249999997</v>
      </c>
    </row>
    <row r="147" spans="1:6" x14ac:dyDescent="0.3">
      <c r="A147" s="3">
        <v>146</v>
      </c>
      <c r="B147" s="4">
        <f t="shared" si="5"/>
        <v>0.85509838998211085</v>
      </c>
      <c r="C147" s="5">
        <v>55.9</v>
      </c>
      <c r="D147" s="5">
        <v>47.8</v>
      </c>
      <c r="E147" s="3" t="s">
        <v>11</v>
      </c>
      <c r="F147" s="6">
        <v>46092.458333333343</v>
      </c>
    </row>
    <row r="148" spans="1:6" x14ac:dyDescent="0.3">
      <c r="A148" s="3">
        <v>147</v>
      </c>
      <c r="B148" s="4">
        <f t="shared" si="5"/>
        <v>0.85882352941176465</v>
      </c>
      <c r="C148" s="5">
        <v>68</v>
      </c>
      <c r="D148" s="5">
        <v>58.4</v>
      </c>
      <c r="E148" s="3" t="s">
        <v>11</v>
      </c>
      <c r="F148" s="6">
        <v>46107.841666666667</v>
      </c>
    </row>
    <row r="149" spans="1:6" x14ac:dyDescent="0.3">
      <c r="A149" s="3">
        <v>148</v>
      </c>
      <c r="B149" s="4">
        <f t="shared" si="5"/>
        <v>0.8593576965669989</v>
      </c>
      <c r="C149" s="5">
        <v>90.3</v>
      </c>
      <c r="D149" s="5">
        <v>77.599999999999994</v>
      </c>
      <c r="E149" s="3" t="s">
        <v>11</v>
      </c>
      <c r="F149" s="6">
        <v>46192.411805555559</v>
      </c>
    </row>
    <row r="150" spans="1:6" x14ac:dyDescent="0.3">
      <c r="A150" s="3">
        <v>149</v>
      </c>
      <c r="B150" s="4">
        <f t="shared" si="5"/>
        <v>0.86253776435045315</v>
      </c>
      <c r="C150" s="5">
        <v>66.2</v>
      </c>
      <c r="D150" s="5">
        <v>57.1</v>
      </c>
      <c r="E150" s="3" t="s">
        <v>11</v>
      </c>
      <c r="F150" s="6">
        <v>46106.506249999999</v>
      </c>
    </row>
    <row r="151" spans="1:6" x14ac:dyDescent="0.3">
      <c r="A151" s="3">
        <v>150</v>
      </c>
      <c r="B151" s="4">
        <f t="shared" si="5"/>
        <v>0.8745387453874538</v>
      </c>
      <c r="C151" s="5">
        <v>81.3</v>
      </c>
      <c r="D151" s="5">
        <v>71.099999999999994</v>
      </c>
      <c r="E151" s="3" t="s">
        <v>11</v>
      </c>
      <c r="F151" s="6">
        <v>46086.380555555559</v>
      </c>
    </row>
    <row r="152" spans="1:6" x14ac:dyDescent="0.3">
      <c r="A152" s="3">
        <v>151</v>
      </c>
      <c r="B152" s="4">
        <f t="shared" si="5"/>
        <v>0.87926136363636354</v>
      </c>
      <c r="C152" s="5">
        <v>70.400000000000006</v>
      </c>
      <c r="D152" s="5">
        <v>61.9</v>
      </c>
      <c r="E152" s="3" t="s">
        <v>7</v>
      </c>
      <c r="F152" s="6">
        <v>46133.343055555553</v>
      </c>
    </row>
    <row r="153" spans="1:6" x14ac:dyDescent="0.3">
      <c r="A153" s="3">
        <v>152</v>
      </c>
      <c r="B153" s="4">
        <f t="shared" si="5"/>
        <v>0.88074824629773962</v>
      </c>
      <c r="C153" s="5">
        <v>128.30000000000001</v>
      </c>
      <c r="D153" s="5">
        <v>113</v>
      </c>
      <c r="E153" s="3" t="s">
        <v>7</v>
      </c>
      <c r="F153" s="6">
        <v>46140.495138888888</v>
      </c>
    </row>
    <row r="154" spans="1:6" x14ac:dyDescent="0.3">
      <c r="A154" s="3">
        <v>153</v>
      </c>
      <c r="B154" s="4">
        <f t="shared" si="5"/>
        <v>0.88409371146732441</v>
      </c>
      <c r="C154" s="5">
        <v>81.099999999999994</v>
      </c>
      <c r="D154" s="5">
        <v>71.7</v>
      </c>
      <c r="E154" s="3" t="s">
        <v>11</v>
      </c>
      <c r="F154" s="6">
        <v>46069.380555555559</v>
      </c>
    </row>
    <row r="155" spans="1:6" x14ac:dyDescent="0.3">
      <c r="A155" s="3">
        <v>154</v>
      </c>
      <c r="B155" s="4">
        <f t="shared" si="5"/>
        <v>0.89443378119001915</v>
      </c>
      <c r="C155" s="5">
        <v>52.1</v>
      </c>
      <c r="D155" s="5">
        <v>46.6</v>
      </c>
      <c r="E155" s="3" t="s">
        <v>7</v>
      </c>
      <c r="F155" s="6">
        <v>46178.05972222222</v>
      </c>
    </row>
    <row r="156" spans="1:6" x14ac:dyDescent="0.3">
      <c r="A156" s="3">
        <v>155</v>
      </c>
      <c r="B156" s="4">
        <f t="shared" si="5"/>
        <v>0.89457364341085277</v>
      </c>
      <c r="C156" s="5">
        <v>64.5</v>
      </c>
      <c r="D156" s="5">
        <v>57.7</v>
      </c>
      <c r="E156" s="3" t="s">
        <v>7</v>
      </c>
      <c r="F156" s="6">
        <v>46204.55</v>
      </c>
    </row>
    <row r="157" spans="1:6" x14ac:dyDescent="0.3">
      <c r="A157" s="3">
        <v>156</v>
      </c>
      <c r="B157" s="4">
        <f t="shared" si="5"/>
        <v>0.89826302729528551</v>
      </c>
      <c r="C157" s="5">
        <v>80.599999999999994</v>
      </c>
      <c r="D157" s="5">
        <v>72.400000000000006</v>
      </c>
      <c r="E157" s="3" t="s">
        <v>7</v>
      </c>
      <c r="F157" s="6">
        <v>46105.214583333327</v>
      </c>
    </row>
    <row r="158" spans="1:6" x14ac:dyDescent="0.3">
      <c r="A158" s="3">
        <v>157</v>
      </c>
      <c r="B158" s="4">
        <f t="shared" si="5"/>
        <v>0.9</v>
      </c>
      <c r="C158" s="5">
        <v>91</v>
      </c>
      <c r="D158" s="5">
        <v>81.900000000000006</v>
      </c>
      <c r="E158" s="3" t="s">
        <v>11</v>
      </c>
      <c r="F158" s="6">
        <v>46160.371527777781</v>
      </c>
    </row>
    <row r="159" spans="1:6" x14ac:dyDescent="0.3">
      <c r="A159" s="3">
        <v>158</v>
      </c>
      <c r="B159" s="4">
        <f t="shared" si="5"/>
        <v>0.90465872156013005</v>
      </c>
      <c r="C159" s="5">
        <v>92.3</v>
      </c>
      <c r="D159" s="5">
        <v>83.5</v>
      </c>
      <c r="E159" s="3" t="s">
        <v>11</v>
      </c>
      <c r="F159" s="6">
        <v>46056.320138888892</v>
      </c>
    </row>
    <row r="160" spans="1:6" x14ac:dyDescent="0.3">
      <c r="A160" s="3">
        <v>159</v>
      </c>
      <c r="B160" s="4">
        <f t="shared" si="5"/>
        <v>0.90850515463917536</v>
      </c>
      <c r="C160" s="5">
        <v>77.599999999999994</v>
      </c>
      <c r="D160" s="5">
        <v>70.5</v>
      </c>
      <c r="E160" s="3" t="s">
        <v>7</v>
      </c>
      <c r="F160" s="6">
        <v>46189.265972222223</v>
      </c>
    </row>
    <row r="161" spans="1:6" x14ac:dyDescent="0.3">
      <c r="A161" s="3">
        <v>160</v>
      </c>
      <c r="B161" s="4">
        <f t="shared" si="5"/>
        <v>0.91590493601462519</v>
      </c>
      <c r="C161" s="5">
        <v>54.7</v>
      </c>
      <c r="D161" s="5">
        <v>50.1</v>
      </c>
      <c r="E161" s="3" t="s">
        <v>7</v>
      </c>
      <c r="F161" s="6">
        <v>46103.928472222222</v>
      </c>
    </row>
    <row r="162" spans="1:6" x14ac:dyDescent="0.3">
      <c r="A162" s="3">
        <v>161</v>
      </c>
      <c r="B162" s="4">
        <f t="shared" ref="B162:B193" si="6">D162/C162</f>
        <v>0.92256637168141598</v>
      </c>
      <c r="C162" s="5">
        <v>90.4</v>
      </c>
      <c r="D162" s="5">
        <v>83.4</v>
      </c>
      <c r="E162" s="3" t="s">
        <v>11</v>
      </c>
      <c r="F162" s="6">
        <v>46170.593055555553</v>
      </c>
    </row>
    <row r="163" spans="1:6" x14ac:dyDescent="0.3">
      <c r="A163" s="3">
        <v>162</v>
      </c>
      <c r="B163" s="4">
        <f t="shared" si="6"/>
        <v>0.92568659127625197</v>
      </c>
      <c r="C163" s="5">
        <v>61.9</v>
      </c>
      <c r="D163" s="5">
        <v>57.3</v>
      </c>
      <c r="E163" s="3" t="s">
        <v>11</v>
      </c>
      <c r="F163" s="6">
        <v>46133.613888888889</v>
      </c>
    </row>
    <row r="164" spans="1:6" x14ac:dyDescent="0.3">
      <c r="A164" s="3">
        <v>163</v>
      </c>
      <c r="B164" s="4">
        <f t="shared" si="6"/>
        <v>0.93055555555555558</v>
      </c>
      <c r="C164" s="5">
        <v>50.4</v>
      </c>
      <c r="D164" s="5">
        <v>46.9</v>
      </c>
      <c r="E164" s="3" t="s">
        <v>11</v>
      </c>
      <c r="F164" s="6">
        <v>46206.276388888888</v>
      </c>
    </row>
    <row r="165" spans="1:6" x14ac:dyDescent="0.3">
      <c r="A165" s="3">
        <v>164</v>
      </c>
      <c r="B165" s="4">
        <f t="shared" si="6"/>
        <v>0.93230769230769228</v>
      </c>
      <c r="C165" s="5">
        <v>65</v>
      </c>
      <c r="D165" s="5">
        <v>60.6</v>
      </c>
      <c r="E165" s="3" t="s">
        <v>11</v>
      </c>
      <c r="F165" s="6">
        <v>46134.384027777778</v>
      </c>
    </row>
    <row r="166" spans="1:6" x14ac:dyDescent="0.3">
      <c r="A166" s="3">
        <v>165</v>
      </c>
      <c r="B166" s="4">
        <f t="shared" si="6"/>
        <v>0.93904208998548622</v>
      </c>
      <c r="C166" s="5">
        <v>68.900000000000006</v>
      </c>
      <c r="D166" s="5">
        <v>64.7</v>
      </c>
      <c r="E166" s="3" t="s">
        <v>11</v>
      </c>
      <c r="F166" s="6">
        <v>46041.03125</v>
      </c>
    </row>
    <row r="167" spans="1:6" x14ac:dyDescent="0.3">
      <c r="A167" s="3">
        <v>166</v>
      </c>
      <c r="B167" s="4">
        <f t="shared" si="6"/>
        <v>0.94059405940594054</v>
      </c>
      <c r="C167" s="5">
        <v>60.6</v>
      </c>
      <c r="D167" s="5">
        <v>57</v>
      </c>
      <c r="E167" s="3" t="s">
        <v>7</v>
      </c>
      <c r="F167" s="6">
        <v>46135.551388888889</v>
      </c>
    </row>
    <row r="168" spans="1:6" x14ac:dyDescent="0.3">
      <c r="A168" s="3">
        <v>167</v>
      </c>
      <c r="B168" s="4">
        <f t="shared" si="6"/>
        <v>0.94712643678160924</v>
      </c>
      <c r="C168" s="5">
        <v>174</v>
      </c>
      <c r="D168" s="5">
        <v>164.8</v>
      </c>
      <c r="E168" s="3" t="s">
        <v>7</v>
      </c>
      <c r="F168" s="6">
        <v>46114.469444444447</v>
      </c>
    </row>
    <row r="169" spans="1:6" x14ac:dyDescent="0.3">
      <c r="A169" s="3">
        <v>168</v>
      </c>
      <c r="B169" s="4">
        <f t="shared" si="6"/>
        <v>0.95053475935828868</v>
      </c>
      <c r="C169" s="5">
        <v>74.8</v>
      </c>
      <c r="D169" s="5">
        <v>71.099999999999994</v>
      </c>
      <c r="E169" s="3" t="s">
        <v>7</v>
      </c>
      <c r="F169" s="6">
        <v>46176.927777777782</v>
      </c>
    </row>
    <row r="170" spans="1:6" x14ac:dyDescent="0.3">
      <c r="A170" s="3">
        <v>169</v>
      </c>
      <c r="B170" s="4">
        <f t="shared" si="6"/>
        <v>0.9516539440203563</v>
      </c>
      <c r="C170" s="5">
        <v>78.599999999999994</v>
      </c>
      <c r="D170" s="5">
        <v>74.8</v>
      </c>
      <c r="E170" s="3" t="s">
        <v>11</v>
      </c>
      <c r="F170" s="6">
        <v>46175.275000000001</v>
      </c>
    </row>
    <row r="171" spans="1:6" x14ac:dyDescent="0.3">
      <c r="A171" s="3">
        <v>170</v>
      </c>
      <c r="B171" s="4">
        <f t="shared" si="6"/>
        <v>0.95283018867924529</v>
      </c>
      <c r="C171" s="5">
        <v>53</v>
      </c>
      <c r="D171" s="5">
        <v>50.5</v>
      </c>
      <c r="E171" s="3" t="s">
        <v>11</v>
      </c>
      <c r="F171" s="6">
        <v>46091.727083333331</v>
      </c>
    </row>
    <row r="172" spans="1:6" x14ac:dyDescent="0.3">
      <c r="A172" s="3">
        <v>171</v>
      </c>
      <c r="B172" s="4">
        <f t="shared" si="6"/>
        <v>0.95785440613026829</v>
      </c>
      <c r="C172" s="5">
        <v>78.3</v>
      </c>
      <c r="D172" s="5">
        <v>75</v>
      </c>
      <c r="E172" s="3" t="s">
        <v>7</v>
      </c>
      <c r="F172" s="6">
        <v>46036.05972222222</v>
      </c>
    </row>
    <row r="173" spans="1:6" x14ac:dyDescent="0.3">
      <c r="A173" s="3">
        <v>172</v>
      </c>
      <c r="B173" s="4">
        <f t="shared" si="6"/>
        <v>0.96963946869070206</v>
      </c>
      <c r="C173" s="5">
        <v>52.7</v>
      </c>
      <c r="D173" s="5">
        <v>51.1</v>
      </c>
      <c r="E173" s="3" t="s">
        <v>11</v>
      </c>
      <c r="F173" s="6">
        <v>46155.25277777778</v>
      </c>
    </row>
    <row r="174" spans="1:6" x14ac:dyDescent="0.3">
      <c r="A174" s="3">
        <v>173</v>
      </c>
      <c r="B174" s="4">
        <f t="shared" si="6"/>
        <v>0.97222222222222221</v>
      </c>
      <c r="C174" s="5">
        <v>61.2</v>
      </c>
      <c r="D174" s="5">
        <v>59.5</v>
      </c>
      <c r="E174" s="3" t="s">
        <v>7</v>
      </c>
      <c r="F174" s="6">
        <v>46076.518750000003</v>
      </c>
    </row>
    <row r="175" spans="1:6" x14ac:dyDescent="0.3">
      <c r="A175" s="3">
        <v>174</v>
      </c>
      <c r="B175" s="4">
        <f t="shared" si="6"/>
        <v>0.97826086956521741</v>
      </c>
      <c r="C175" s="5">
        <v>82.8</v>
      </c>
      <c r="D175" s="5">
        <v>81</v>
      </c>
      <c r="E175" s="3" t="s">
        <v>11</v>
      </c>
      <c r="F175" s="6">
        <v>46073.645833333343</v>
      </c>
    </row>
    <row r="176" spans="1:6" x14ac:dyDescent="0.3">
      <c r="A176" s="3">
        <v>175</v>
      </c>
      <c r="B176" s="4">
        <f t="shared" si="6"/>
        <v>0.98828125</v>
      </c>
      <c r="C176" s="5">
        <v>51.2</v>
      </c>
      <c r="D176" s="5">
        <v>50.6</v>
      </c>
      <c r="E176" s="3" t="s">
        <v>11</v>
      </c>
      <c r="F176" s="6">
        <v>46083.618750000001</v>
      </c>
    </row>
    <row r="177" spans="1:6" x14ac:dyDescent="0.3">
      <c r="A177" s="3">
        <v>176</v>
      </c>
      <c r="B177" s="4">
        <f t="shared" si="6"/>
        <v>0.99826086956521731</v>
      </c>
      <c r="C177" s="5">
        <v>57.5</v>
      </c>
      <c r="D177" s="5">
        <v>57.4</v>
      </c>
      <c r="E177" s="3" t="s">
        <v>7</v>
      </c>
      <c r="F177" s="6">
        <v>46044.469444444447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6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2" customWidth="1"/>
    <col min="3" max="3" width="15" customWidth="1"/>
    <col min="4" max="4" width="17" customWidth="1"/>
    <col min="5" max="5" width="16" customWidth="1"/>
    <col min="6" max="6" width="19" customWidth="1"/>
    <col min="8" max="8" width="30" customWidth="1"/>
    <col min="9" max="11" width="12" customWidth="1"/>
  </cols>
  <sheetData>
    <row r="1" spans="1:9" ht="28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37</v>
      </c>
    </row>
    <row r="2" spans="1:9" x14ac:dyDescent="0.3">
      <c r="A2" s="3">
        <v>1</v>
      </c>
      <c r="B2" s="4">
        <f t="shared" ref="B2:B65" si="0">D2/C2</f>
        <v>0.10552536231884058</v>
      </c>
      <c r="C2" s="5">
        <v>220.8</v>
      </c>
      <c r="D2" s="5">
        <v>23.3</v>
      </c>
      <c r="E2" s="3" t="s">
        <v>7</v>
      </c>
      <c r="F2" s="6">
        <v>44934.920138888891</v>
      </c>
      <c r="H2" s="3" t="s">
        <v>8</v>
      </c>
    </row>
    <row r="3" spans="1:9" x14ac:dyDescent="0.3">
      <c r="A3" s="3">
        <v>2</v>
      </c>
      <c r="B3" s="4">
        <f t="shared" si="0"/>
        <v>0.1167192429022082</v>
      </c>
      <c r="C3" s="5">
        <v>221.9</v>
      </c>
      <c r="D3" s="5">
        <v>25.9</v>
      </c>
      <c r="E3" s="3" t="s">
        <v>7</v>
      </c>
      <c r="F3" s="6">
        <v>45235.917361111111</v>
      </c>
      <c r="H3" s="3" t="s">
        <v>9</v>
      </c>
    </row>
    <row r="4" spans="1:9" x14ac:dyDescent="0.3">
      <c r="A4" s="3">
        <v>3</v>
      </c>
      <c r="B4" s="4">
        <f t="shared" si="0"/>
        <v>0.13847251962883655</v>
      </c>
      <c r="C4" s="5">
        <v>280.2</v>
      </c>
      <c r="D4" s="5">
        <v>38.799999999999997</v>
      </c>
      <c r="E4" s="3" t="s">
        <v>7</v>
      </c>
      <c r="F4" s="6">
        <v>46048.351388888892</v>
      </c>
    </row>
    <row r="5" spans="1:9" x14ac:dyDescent="0.3">
      <c r="A5" s="3">
        <v>4</v>
      </c>
      <c r="B5" s="4">
        <f t="shared" si="0"/>
        <v>0.14996084573218479</v>
      </c>
      <c r="C5" s="5">
        <v>255.4</v>
      </c>
      <c r="D5" s="5">
        <v>38.299999999999997</v>
      </c>
      <c r="E5" s="3" t="s">
        <v>11</v>
      </c>
      <c r="F5" s="6">
        <v>44725.229166666657</v>
      </c>
      <c r="H5" s="7" t="s">
        <v>10</v>
      </c>
    </row>
    <row r="6" spans="1:9" x14ac:dyDescent="0.3">
      <c r="A6" s="3">
        <v>5</v>
      </c>
      <c r="B6" s="4">
        <f t="shared" si="0"/>
        <v>0.16088947024198824</v>
      </c>
      <c r="C6" s="5">
        <v>152.9</v>
      </c>
      <c r="D6" s="5">
        <v>24.6</v>
      </c>
      <c r="E6" s="3" t="s">
        <v>11</v>
      </c>
      <c r="F6" s="6">
        <v>45373.052083333343</v>
      </c>
      <c r="H6" s="3" t="s">
        <v>12</v>
      </c>
      <c r="I6" s="8">
        <f>COUNT(B2:B1767)</f>
        <v>1766</v>
      </c>
    </row>
    <row r="7" spans="1:9" x14ac:dyDescent="0.3">
      <c r="A7" s="3">
        <v>6</v>
      </c>
      <c r="B7" s="4">
        <f t="shared" si="0"/>
        <v>0.16274603936629858</v>
      </c>
      <c r="C7" s="5">
        <v>208.3</v>
      </c>
      <c r="D7" s="5">
        <v>33.9</v>
      </c>
      <c r="E7" s="3" t="s">
        <v>11</v>
      </c>
      <c r="F7" s="6">
        <v>44468.286111111112</v>
      </c>
      <c r="H7" s="3" t="s">
        <v>13</v>
      </c>
      <c r="I7" s="8">
        <v>3490</v>
      </c>
    </row>
    <row r="8" spans="1:9" x14ac:dyDescent="0.3">
      <c r="A8" s="3">
        <v>7</v>
      </c>
      <c r="B8" s="4">
        <f t="shared" si="0"/>
        <v>0.16838995568685378</v>
      </c>
      <c r="C8" s="5">
        <v>135.4</v>
      </c>
      <c r="D8" s="5">
        <v>22.8</v>
      </c>
      <c r="E8" s="3" t="s">
        <v>11</v>
      </c>
      <c r="F8" s="6">
        <v>45224.217361111107</v>
      </c>
      <c r="H8" s="3" t="s">
        <v>14</v>
      </c>
      <c r="I8" s="4">
        <f>I6/I7</f>
        <v>0.5060171919770774</v>
      </c>
    </row>
    <row r="9" spans="1:9" x14ac:dyDescent="0.3">
      <c r="A9" s="3">
        <v>8</v>
      </c>
      <c r="B9" s="4">
        <f t="shared" si="0"/>
        <v>0.17129018053720826</v>
      </c>
      <c r="C9" s="5">
        <v>227.1</v>
      </c>
      <c r="D9" s="5">
        <v>38.9</v>
      </c>
      <c r="E9" s="3" t="s">
        <v>11</v>
      </c>
      <c r="F9" s="6">
        <v>44845.936111111107</v>
      </c>
      <c r="H9" s="3" t="s">
        <v>15</v>
      </c>
      <c r="I9" s="4">
        <f>MIN(B2:B1767)</f>
        <v>0.10552536231884058</v>
      </c>
    </row>
    <row r="10" spans="1:9" x14ac:dyDescent="0.3">
      <c r="A10" s="3">
        <v>9</v>
      </c>
      <c r="B10" s="4">
        <f t="shared" si="0"/>
        <v>0.17232094776521273</v>
      </c>
      <c r="C10" s="5">
        <v>185.7</v>
      </c>
      <c r="D10" s="5">
        <v>32</v>
      </c>
      <c r="E10" s="3" t="s">
        <v>11</v>
      </c>
      <c r="F10" s="6">
        <v>44792.316666666673</v>
      </c>
      <c r="H10" s="3" t="s">
        <v>16</v>
      </c>
      <c r="I10" s="4">
        <f>MEDIAN(B2:B1767)</f>
        <v>0.64770758204256473</v>
      </c>
    </row>
    <row r="11" spans="1:9" x14ac:dyDescent="0.3">
      <c r="A11" s="3">
        <v>10</v>
      </c>
      <c r="B11" s="4">
        <f t="shared" si="0"/>
        <v>0.17471590909090909</v>
      </c>
      <c r="C11" s="5">
        <v>281.60000000000002</v>
      </c>
      <c r="D11" s="5">
        <v>49.2</v>
      </c>
      <c r="E11" s="3" t="s">
        <v>7</v>
      </c>
      <c r="F11" s="6">
        <v>44698.574999999997</v>
      </c>
      <c r="H11" s="3" t="s">
        <v>17</v>
      </c>
      <c r="I11" s="4">
        <f>AVERAGE(B2:B1767)</f>
        <v>0.6407134039286897</v>
      </c>
    </row>
    <row r="12" spans="1:9" x14ac:dyDescent="0.3">
      <c r="A12" s="3">
        <v>11</v>
      </c>
      <c r="B12" s="4">
        <f t="shared" si="0"/>
        <v>0.1762672811059908</v>
      </c>
      <c r="C12" s="5">
        <v>173.6</v>
      </c>
      <c r="D12" s="5">
        <v>30.6</v>
      </c>
      <c r="E12" s="3" t="s">
        <v>11</v>
      </c>
      <c r="F12" s="6">
        <v>45327.342361111107</v>
      </c>
      <c r="H12" s="3" t="s">
        <v>18</v>
      </c>
      <c r="I12" s="4">
        <f>MAX(B2:B1767)</f>
        <v>0.99853587115666187</v>
      </c>
    </row>
    <row r="13" spans="1:9" x14ac:dyDescent="0.3">
      <c r="A13" s="3">
        <v>12</v>
      </c>
      <c r="B13" s="4">
        <f t="shared" si="0"/>
        <v>0.17902646194054228</v>
      </c>
      <c r="C13" s="5">
        <v>306.10000000000002</v>
      </c>
      <c r="D13" s="5">
        <v>54.8</v>
      </c>
      <c r="E13" s="3" t="s">
        <v>11</v>
      </c>
      <c r="F13" s="6">
        <v>44829.957638888889</v>
      </c>
      <c r="H13" s="3" t="s">
        <v>19</v>
      </c>
      <c r="I13" s="4">
        <f>COUNTIF(B2:B1767,"&lt;0.5")/I6</f>
        <v>0.27802944507361266</v>
      </c>
    </row>
    <row r="14" spans="1:9" x14ac:dyDescent="0.3">
      <c r="A14" s="3">
        <v>13</v>
      </c>
      <c r="B14" s="4">
        <f t="shared" si="0"/>
        <v>0.1822429906542056</v>
      </c>
      <c r="C14" s="5">
        <v>214</v>
      </c>
      <c r="D14" s="5">
        <v>39</v>
      </c>
      <c r="E14" s="3" t="s">
        <v>11</v>
      </c>
      <c r="F14" s="6">
        <v>44678.229861111111</v>
      </c>
      <c r="H14" s="3" t="s">
        <v>20</v>
      </c>
      <c r="I14" s="4">
        <f>COUNTIF(B2:B1767,"&gt;=0.8")/I6</f>
        <v>0.2655719139297848</v>
      </c>
    </row>
    <row r="15" spans="1:9" x14ac:dyDescent="0.3">
      <c r="A15" s="3">
        <v>14</v>
      </c>
      <c r="B15" s="4">
        <f t="shared" si="0"/>
        <v>0.18274111675126906</v>
      </c>
      <c r="C15" s="5">
        <v>157.6</v>
      </c>
      <c r="D15" s="5">
        <v>28.8</v>
      </c>
      <c r="E15" s="3" t="s">
        <v>7</v>
      </c>
      <c r="F15" s="6">
        <v>45791.254166666673</v>
      </c>
    </row>
    <row r="16" spans="1:9" x14ac:dyDescent="0.3">
      <c r="A16" s="3">
        <v>15</v>
      </c>
      <c r="B16" s="4">
        <f t="shared" si="0"/>
        <v>0.18375815056312983</v>
      </c>
      <c r="C16" s="5">
        <v>168.7</v>
      </c>
      <c r="D16" s="5">
        <v>31</v>
      </c>
      <c r="E16" s="3" t="s">
        <v>7</v>
      </c>
      <c r="F16" s="6">
        <v>46143.415277777778</v>
      </c>
    </row>
    <row r="17" spans="1:10" x14ac:dyDescent="0.3">
      <c r="A17" s="3">
        <v>16</v>
      </c>
      <c r="B17" s="4">
        <f t="shared" si="0"/>
        <v>0.1876190476190476</v>
      </c>
      <c r="C17" s="5">
        <v>210</v>
      </c>
      <c r="D17" s="5">
        <v>39.4</v>
      </c>
      <c r="E17" s="3" t="s">
        <v>7</v>
      </c>
      <c r="F17" s="6">
        <v>46120.363194444442</v>
      </c>
      <c r="H17" s="7" t="s">
        <v>21</v>
      </c>
    </row>
    <row r="18" spans="1:10" x14ac:dyDescent="0.3">
      <c r="A18" s="3">
        <v>17</v>
      </c>
      <c r="B18" s="4">
        <f t="shared" si="0"/>
        <v>0.19186843307446322</v>
      </c>
      <c r="C18" s="5">
        <v>218.9</v>
      </c>
      <c r="D18" s="5">
        <v>42</v>
      </c>
      <c r="E18" s="3" t="s">
        <v>11</v>
      </c>
      <c r="F18" s="6">
        <v>44726.724305555559</v>
      </c>
      <c r="H18" s="7" t="s">
        <v>22</v>
      </c>
      <c r="I18" s="7" t="s">
        <v>12</v>
      </c>
      <c r="J18" s="7" t="s">
        <v>23</v>
      </c>
    </row>
    <row r="19" spans="1:10" x14ac:dyDescent="0.3">
      <c r="A19" s="3">
        <v>18</v>
      </c>
      <c r="B19" s="4">
        <f t="shared" si="0"/>
        <v>0.19220549158547384</v>
      </c>
      <c r="C19" s="5">
        <v>112.9</v>
      </c>
      <c r="D19" s="5">
        <v>21.7</v>
      </c>
      <c r="E19" s="3" t="s">
        <v>11</v>
      </c>
      <c r="F19" s="6">
        <v>45126.25</v>
      </c>
      <c r="H19" s="3" t="s">
        <v>24</v>
      </c>
      <c r="I19" s="8">
        <f>COUNTIFS($B$2:$B$1767,"&gt;=0.0",$B$2:$B$1767,"&lt;0.1")</f>
        <v>0</v>
      </c>
      <c r="J19" s="4">
        <f t="shared" ref="J19:J28" si="1">I19/$I$6</f>
        <v>0</v>
      </c>
    </row>
    <row r="20" spans="1:10" x14ac:dyDescent="0.3">
      <c r="A20" s="3">
        <v>19</v>
      </c>
      <c r="B20" s="4">
        <f t="shared" si="0"/>
        <v>0.19625668449197861</v>
      </c>
      <c r="C20" s="5">
        <v>187</v>
      </c>
      <c r="D20" s="5">
        <v>36.700000000000003</v>
      </c>
      <c r="E20" s="3" t="s">
        <v>11</v>
      </c>
      <c r="F20" s="6">
        <v>44676.355555555558</v>
      </c>
      <c r="H20" s="3" t="s">
        <v>25</v>
      </c>
      <c r="I20" s="8">
        <f>COUNTIFS($B$2:$B$1767,"&gt;=0.1",$B$2:$B$1767,"&lt;0.2")</f>
        <v>20</v>
      </c>
      <c r="J20" s="4">
        <f t="shared" si="1"/>
        <v>1.1325028312570781E-2</v>
      </c>
    </row>
    <row r="21" spans="1:10" x14ac:dyDescent="0.3">
      <c r="A21" s="3">
        <v>20</v>
      </c>
      <c r="B21" s="4">
        <f t="shared" si="0"/>
        <v>0.19641401792991037</v>
      </c>
      <c r="C21" s="5">
        <v>122.7</v>
      </c>
      <c r="D21" s="5">
        <v>24.1</v>
      </c>
      <c r="E21" s="3" t="s">
        <v>7</v>
      </c>
      <c r="F21" s="6">
        <v>44552.953472222223</v>
      </c>
      <c r="H21" s="3" t="s">
        <v>26</v>
      </c>
      <c r="I21" s="8">
        <f>COUNTIFS($B$2:$B$1767,"&gt;=0.2",$B$2:$B$1767,"&lt;0.30000000000000004")</f>
        <v>75</v>
      </c>
      <c r="J21" s="4">
        <f t="shared" si="1"/>
        <v>4.2468856172140433E-2</v>
      </c>
    </row>
    <row r="22" spans="1:10" x14ac:dyDescent="0.3">
      <c r="A22" s="3">
        <v>21</v>
      </c>
      <c r="B22" s="4">
        <f t="shared" si="0"/>
        <v>0.20036764705882357</v>
      </c>
      <c r="C22" s="5">
        <v>163.19999999999999</v>
      </c>
      <c r="D22" s="5">
        <v>32.700000000000003</v>
      </c>
      <c r="E22" s="3" t="s">
        <v>7</v>
      </c>
      <c r="F22" s="6">
        <v>46091.160416666673</v>
      </c>
      <c r="H22" s="3" t="s">
        <v>27</v>
      </c>
      <c r="I22" s="8">
        <f>COUNTIFS($B$2:$B$1767,"&gt;=0.3",$B$2:$B$1767,"&lt;0.4")</f>
        <v>163</v>
      </c>
      <c r="J22" s="4">
        <f t="shared" si="1"/>
        <v>9.2298980747451867E-2</v>
      </c>
    </row>
    <row r="23" spans="1:10" x14ac:dyDescent="0.3">
      <c r="A23" s="3">
        <v>22</v>
      </c>
      <c r="B23" s="4">
        <f t="shared" si="0"/>
        <v>0.20133234641006661</v>
      </c>
      <c r="C23" s="5">
        <v>135.1</v>
      </c>
      <c r="D23" s="5">
        <v>27.2</v>
      </c>
      <c r="E23" s="3" t="s">
        <v>11</v>
      </c>
      <c r="F23" s="6">
        <v>44616.262499999997</v>
      </c>
      <c r="H23" s="3" t="s">
        <v>28</v>
      </c>
      <c r="I23" s="8">
        <f>COUNTIFS($B$2:$B$1767,"&gt;=0.4",$B$2:$B$1767,"&lt;0.5")</f>
        <v>233</v>
      </c>
      <c r="J23" s="4">
        <f t="shared" si="1"/>
        <v>0.1319365798414496</v>
      </c>
    </row>
    <row r="24" spans="1:10" x14ac:dyDescent="0.3">
      <c r="A24" s="3">
        <v>23</v>
      </c>
      <c r="B24" s="4">
        <f t="shared" si="0"/>
        <v>0.20133667502088556</v>
      </c>
      <c r="C24" s="5">
        <v>119.7</v>
      </c>
      <c r="D24" s="5">
        <v>24.1</v>
      </c>
      <c r="E24" s="3" t="s">
        <v>7</v>
      </c>
      <c r="F24" s="6">
        <v>45702.507638888892</v>
      </c>
      <c r="H24" s="3" t="s">
        <v>29</v>
      </c>
      <c r="I24" s="8">
        <f>COUNTIFS($B$2:$B$1767,"&gt;=0.5",$B$2:$B$1767,"&lt;0.6")</f>
        <v>267</v>
      </c>
      <c r="J24" s="4">
        <f t="shared" si="1"/>
        <v>0.15118912797281994</v>
      </c>
    </row>
    <row r="25" spans="1:10" x14ac:dyDescent="0.3">
      <c r="A25" s="3">
        <v>24</v>
      </c>
      <c r="B25" s="4">
        <f t="shared" si="0"/>
        <v>0.20474308300395255</v>
      </c>
      <c r="C25" s="5">
        <v>126.5</v>
      </c>
      <c r="D25" s="5">
        <v>25.9</v>
      </c>
      <c r="E25" s="3" t="s">
        <v>11</v>
      </c>
      <c r="F25" s="6">
        <v>46058.336805555547</v>
      </c>
      <c r="H25" s="3" t="s">
        <v>30</v>
      </c>
      <c r="I25" s="8">
        <f>COUNTIFS($B$2:$B$1767,"&gt;=0.6",$B$2:$B$1767,"&lt;0.7")</f>
        <v>259</v>
      </c>
      <c r="J25" s="4">
        <f t="shared" si="1"/>
        <v>0.14665911664779163</v>
      </c>
    </row>
    <row r="26" spans="1:10" x14ac:dyDescent="0.3">
      <c r="A26" s="3">
        <v>25</v>
      </c>
      <c r="B26" s="4">
        <f t="shared" si="0"/>
        <v>0.20483592400690845</v>
      </c>
      <c r="C26" s="5">
        <v>289.5</v>
      </c>
      <c r="D26" s="5">
        <v>59.3</v>
      </c>
      <c r="E26" s="3" t="s">
        <v>7</v>
      </c>
      <c r="F26" s="6">
        <v>44875.586111111108</v>
      </c>
      <c r="H26" s="3" t="s">
        <v>31</v>
      </c>
      <c r="I26" s="8">
        <f>COUNTIFS($B$2:$B$1767,"&gt;=0.7",$B$2:$B$1767,"&lt;0.7999999999999999")</f>
        <v>280</v>
      </c>
      <c r="J26" s="4">
        <f t="shared" si="1"/>
        <v>0.15855039637599094</v>
      </c>
    </row>
    <row r="27" spans="1:10" x14ac:dyDescent="0.3">
      <c r="A27" s="3">
        <v>26</v>
      </c>
      <c r="B27" s="4">
        <f t="shared" si="0"/>
        <v>0.20750853242320819</v>
      </c>
      <c r="C27" s="5">
        <v>146.5</v>
      </c>
      <c r="D27" s="5">
        <v>30.4</v>
      </c>
      <c r="E27" s="3" t="s">
        <v>11</v>
      </c>
      <c r="F27" s="6">
        <v>44498.761805555558</v>
      </c>
      <c r="H27" s="3" t="s">
        <v>32</v>
      </c>
      <c r="I27" s="8">
        <f>COUNTIFS($B$2:$B$1767,"&gt;=0.8",$B$2:$B$1767,"&lt;0.9")</f>
        <v>251</v>
      </c>
      <c r="J27" s="4">
        <f t="shared" si="1"/>
        <v>0.14212910532276329</v>
      </c>
    </row>
    <row r="28" spans="1:10" x14ac:dyDescent="0.3">
      <c r="A28" s="3">
        <v>27</v>
      </c>
      <c r="B28" s="4">
        <f t="shared" si="0"/>
        <v>0.20815031722791605</v>
      </c>
      <c r="C28" s="5">
        <v>409.8</v>
      </c>
      <c r="D28" s="5">
        <v>85.3</v>
      </c>
      <c r="E28" s="3" t="s">
        <v>7</v>
      </c>
      <c r="F28" s="6">
        <v>44896.715277777781</v>
      </c>
      <c r="H28" s="3" t="s">
        <v>33</v>
      </c>
      <c r="I28" s="8">
        <f>COUNTIFS($B$2:$B$1767,"&gt;=0.9",$B$2:$B$1767,"&lt;1.0")</f>
        <v>218</v>
      </c>
      <c r="J28" s="4">
        <f t="shared" si="1"/>
        <v>0.12344280860702152</v>
      </c>
    </row>
    <row r="29" spans="1:10" x14ac:dyDescent="0.3">
      <c r="A29" s="3">
        <v>28</v>
      </c>
      <c r="B29" s="4">
        <f t="shared" si="0"/>
        <v>0.21493902439024393</v>
      </c>
      <c r="C29" s="5">
        <v>262.39999999999998</v>
      </c>
      <c r="D29" s="5">
        <v>56.4</v>
      </c>
      <c r="E29" s="3" t="s">
        <v>11</v>
      </c>
      <c r="F29" s="6">
        <v>44993.648611111108</v>
      </c>
    </row>
    <row r="30" spans="1:10" x14ac:dyDescent="0.3">
      <c r="A30" s="3">
        <v>29</v>
      </c>
      <c r="B30" s="4">
        <f t="shared" si="0"/>
        <v>0.21700223713646535</v>
      </c>
      <c r="C30" s="5">
        <v>134.1</v>
      </c>
      <c r="D30" s="5">
        <v>29.1</v>
      </c>
      <c r="E30" s="3" t="s">
        <v>7</v>
      </c>
      <c r="F30" s="6">
        <v>45554.458333333343</v>
      </c>
      <c r="H30" s="9" t="s">
        <v>34</v>
      </c>
    </row>
    <row r="31" spans="1:10" x14ac:dyDescent="0.3">
      <c r="A31" s="3">
        <v>30</v>
      </c>
      <c r="B31" s="4">
        <f t="shared" si="0"/>
        <v>0.2181384248210024</v>
      </c>
      <c r="C31" s="5">
        <v>209.5</v>
      </c>
      <c r="D31" s="5">
        <v>45.7</v>
      </c>
      <c r="E31" s="3" t="s">
        <v>7</v>
      </c>
      <c r="F31" s="6">
        <v>46127.441666666673</v>
      </c>
      <c r="H31" s="9" t="s">
        <v>38</v>
      </c>
    </row>
    <row r="32" spans="1:10" x14ac:dyDescent="0.3">
      <c r="A32" s="3">
        <v>31</v>
      </c>
      <c r="B32" s="4">
        <f t="shared" si="0"/>
        <v>0.22009132420091326</v>
      </c>
      <c r="C32" s="5">
        <v>109.5</v>
      </c>
      <c r="D32" s="5">
        <v>24.1</v>
      </c>
      <c r="E32" s="3" t="s">
        <v>11</v>
      </c>
      <c r="F32" s="6">
        <v>44582.576388888891</v>
      </c>
      <c r="H32" s="9" t="s">
        <v>36</v>
      </c>
    </row>
    <row r="33" spans="1:6" x14ac:dyDescent="0.3">
      <c r="A33" s="3">
        <v>32</v>
      </c>
      <c r="B33" s="4">
        <f t="shared" si="0"/>
        <v>0.22343876723438769</v>
      </c>
      <c r="C33" s="5">
        <v>246.6</v>
      </c>
      <c r="D33" s="5">
        <v>55.1</v>
      </c>
      <c r="E33" s="3" t="s">
        <v>7</v>
      </c>
      <c r="F33" s="6">
        <v>45020.53402777778</v>
      </c>
    </row>
    <row r="34" spans="1:6" x14ac:dyDescent="0.3">
      <c r="A34" s="3">
        <v>33</v>
      </c>
      <c r="B34" s="4">
        <f t="shared" si="0"/>
        <v>0.22376409366869038</v>
      </c>
      <c r="C34" s="5">
        <v>115.3</v>
      </c>
      <c r="D34" s="5">
        <v>25.8</v>
      </c>
      <c r="E34" s="3" t="s">
        <v>7</v>
      </c>
      <c r="F34" s="6">
        <v>45222.893750000003</v>
      </c>
    </row>
    <row r="35" spans="1:6" x14ac:dyDescent="0.3">
      <c r="A35" s="3">
        <v>34</v>
      </c>
      <c r="B35" s="4">
        <f t="shared" si="0"/>
        <v>0.22407002188183808</v>
      </c>
      <c r="C35" s="5">
        <v>228.5</v>
      </c>
      <c r="D35" s="5">
        <v>51.2</v>
      </c>
      <c r="E35" s="3" t="s">
        <v>7</v>
      </c>
      <c r="F35" s="6">
        <v>45245.393750000003</v>
      </c>
    </row>
    <row r="36" spans="1:6" x14ac:dyDescent="0.3">
      <c r="A36" s="3">
        <v>35</v>
      </c>
      <c r="B36" s="4">
        <f t="shared" si="0"/>
        <v>0.22571819425444595</v>
      </c>
      <c r="C36" s="5">
        <v>219.3</v>
      </c>
      <c r="D36" s="5">
        <v>49.5</v>
      </c>
      <c r="E36" s="3" t="s">
        <v>11</v>
      </c>
      <c r="F36" s="6">
        <v>45202.579861111109</v>
      </c>
    </row>
    <row r="37" spans="1:6" x14ac:dyDescent="0.3">
      <c r="A37" s="3">
        <v>36</v>
      </c>
      <c r="B37" s="4">
        <f t="shared" si="0"/>
        <v>0.22951709169831794</v>
      </c>
      <c r="C37" s="5">
        <v>184.3</v>
      </c>
      <c r="D37" s="5">
        <v>42.3</v>
      </c>
      <c r="E37" s="3" t="s">
        <v>7</v>
      </c>
      <c r="F37" s="6">
        <v>45995.5625</v>
      </c>
    </row>
    <row r="38" spans="1:6" x14ac:dyDescent="0.3">
      <c r="A38" s="3">
        <v>37</v>
      </c>
      <c r="B38" s="4">
        <f t="shared" si="0"/>
        <v>0.23105823418910457</v>
      </c>
      <c r="C38" s="5">
        <v>159.69999999999999</v>
      </c>
      <c r="D38" s="5">
        <v>36.9</v>
      </c>
      <c r="E38" s="3" t="s">
        <v>11</v>
      </c>
      <c r="F38" s="6">
        <v>45866.547222222223</v>
      </c>
    </row>
    <row r="39" spans="1:6" x14ac:dyDescent="0.3">
      <c r="A39" s="3">
        <v>38</v>
      </c>
      <c r="B39" s="4">
        <f t="shared" si="0"/>
        <v>0.23162393162393163</v>
      </c>
      <c r="C39" s="5">
        <v>117</v>
      </c>
      <c r="D39" s="5">
        <v>27.1</v>
      </c>
      <c r="E39" s="3" t="s">
        <v>11</v>
      </c>
      <c r="F39" s="6">
        <v>45190.288888888892</v>
      </c>
    </row>
    <row r="40" spans="1:6" x14ac:dyDescent="0.3">
      <c r="A40" s="3">
        <v>39</v>
      </c>
      <c r="B40" s="4">
        <f t="shared" si="0"/>
        <v>0.23184713375796179</v>
      </c>
      <c r="C40" s="5">
        <v>235.5</v>
      </c>
      <c r="D40" s="5">
        <v>54.6</v>
      </c>
      <c r="E40" s="3" t="s">
        <v>11</v>
      </c>
      <c r="F40" s="6">
        <v>44693.430555555547</v>
      </c>
    </row>
    <row r="41" spans="1:6" x14ac:dyDescent="0.3">
      <c r="A41" s="3">
        <v>40</v>
      </c>
      <c r="B41" s="4">
        <f t="shared" si="0"/>
        <v>0.2318840579710145</v>
      </c>
      <c r="C41" s="5">
        <v>138</v>
      </c>
      <c r="D41" s="5">
        <v>32</v>
      </c>
      <c r="E41" s="3" t="s">
        <v>7</v>
      </c>
      <c r="F41" s="6">
        <v>45090.773611111108</v>
      </c>
    </row>
    <row r="42" spans="1:6" x14ac:dyDescent="0.3">
      <c r="A42" s="3">
        <v>41</v>
      </c>
      <c r="B42" s="4">
        <f t="shared" si="0"/>
        <v>0.23370064279155187</v>
      </c>
      <c r="C42" s="5">
        <v>217.8</v>
      </c>
      <c r="D42" s="5">
        <v>50.9</v>
      </c>
      <c r="E42" s="3" t="s">
        <v>11</v>
      </c>
      <c r="F42" s="6">
        <v>44686.571527777778</v>
      </c>
    </row>
    <row r="43" spans="1:6" x14ac:dyDescent="0.3">
      <c r="A43" s="3">
        <v>42</v>
      </c>
      <c r="B43" s="4">
        <f t="shared" si="0"/>
        <v>0.23524590163934425</v>
      </c>
      <c r="C43" s="5">
        <v>122</v>
      </c>
      <c r="D43" s="5">
        <v>28.7</v>
      </c>
      <c r="E43" s="3" t="s">
        <v>11</v>
      </c>
      <c r="F43" s="6">
        <v>45456.795138888891</v>
      </c>
    </row>
    <row r="44" spans="1:6" x14ac:dyDescent="0.3">
      <c r="A44" s="3">
        <v>43</v>
      </c>
      <c r="B44" s="4">
        <f t="shared" si="0"/>
        <v>0.23856749311294764</v>
      </c>
      <c r="C44" s="5">
        <v>181.5</v>
      </c>
      <c r="D44" s="5">
        <v>43.3</v>
      </c>
      <c r="E44" s="3" t="s">
        <v>11</v>
      </c>
      <c r="F44" s="6">
        <v>44754.004166666673</v>
      </c>
    </row>
    <row r="45" spans="1:6" x14ac:dyDescent="0.3">
      <c r="A45" s="3">
        <v>44</v>
      </c>
      <c r="B45" s="4">
        <f t="shared" si="0"/>
        <v>0.23862928348909657</v>
      </c>
      <c r="C45" s="5">
        <v>160.5</v>
      </c>
      <c r="D45" s="5">
        <v>38.299999999999997</v>
      </c>
      <c r="E45" s="3" t="s">
        <v>7</v>
      </c>
      <c r="F45" s="6">
        <v>45831.875694444447</v>
      </c>
    </row>
    <row r="46" spans="1:6" x14ac:dyDescent="0.3">
      <c r="A46" s="3">
        <v>45</v>
      </c>
      <c r="B46" s="4">
        <f t="shared" si="0"/>
        <v>0.24487334137515077</v>
      </c>
      <c r="C46" s="5">
        <v>165.8</v>
      </c>
      <c r="D46" s="5">
        <v>40.6</v>
      </c>
      <c r="E46" s="3" t="s">
        <v>7</v>
      </c>
      <c r="F46" s="6">
        <v>44897.8</v>
      </c>
    </row>
    <row r="47" spans="1:6" x14ac:dyDescent="0.3">
      <c r="A47" s="3">
        <v>46</v>
      </c>
      <c r="B47" s="4">
        <f t="shared" si="0"/>
        <v>0.24496506370735716</v>
      </c>
      <c r="C47" s="5">
        <v>243.3</v>
      </c>
      <c r="D47" s="5">
        <v>59.6</v>
      </c>
      <c r="E47" s="3" t="s">
        <v>7</v>
      </c>
      <c r="F47" s="6">
        <v>44728.587500000001</v>
      </c>
    </row>
    <row r="48" spans="1:6" x14ac:dyDescent="0.3">
      <c r="A48" s="3">
        <v>47</v>
      </c>
      <c r="B48" s="4">
        <f t="shared" si="0"/>
        <v>0.24633204633204633</v>
      </c>
      <c r="C48" s="5">
        <v>129.5</v>
      </c>
      <c r="D48" s="5">
        <v>31.9</v>
      </c>
      <c r="E48" s="3" t="s">
        <v>7</v>
      </c>
      <c r="F48" s="6">
        <v>44509.076388888891</v>
      </c>
    </row>
    <row r="49" spans="1:6" x14ac:dyDescent="0.3">
      <c r="A49" s="3">
        <v>48</v>
      </c>
      <c r="B49" s="4">
        <f t="shared" si="0"/>
        <v>0.24762908324552158</v>
      </c>
      <c r="C49" s="5">
        <v>189.8</v>
      </c>
      <c r="D49" s="5">
        <v>47</v>
      </c>
      <c r="E49" s="3" t="s">
        <v>11</v>
      </c>
      <c r="F49" s="6">
        <v>44868.074999999997</v>
      </c>
    </row>
    <row r="50" spans="1:6" x14ac:dyDescent="0.3">
      <c r="A50" s="3">
        <v>49</v>
      </c>
      <c r="B50" s="4">
        <f t="shared" si="0"/>
        <v>0.24777183600713013</v>
      </c>
      <c r="C50" s="5">
        <v>112.2</v>
      </c>
      <c r="D50" s="5">
        <v>27.8</v>
      </c>
      <c r="E50" s="3" t="s">
        <v>11</v>
      </c>
      <c r="F50" s="6">
        <v>44950.493055555547</v>
      </c>
    </row>
    <row r="51" spans="1:6" x14ac:dyDescent="0.3">
      <c r="A51" s="3">
        <v>50</v>
      </c>
      <c r="B51" s="4">
        <f t="shared" si="0"/>
        <v>0.25070159027128158</v>
      </c>
      <c r="C51" s="5">
        <v>213.8</v>
      </c>
      <c r="D51" s="5">
        <v>53.6</v>
      </c>
      <c r="E51" s="3" t="s">
        <v>11</v>
      </c>
      <c r="F51" s="6">
        <v>44673.477777777778</v>
      </c>
    </row>
    <row r="52" spans="1:6" x14ac:dyDescent="0.3">
      <c r="A52" s="3">
        <v>51</v>
      </c>
      <c r="B52" s="4">
        <f t="shared" si="0"/>
        <v>0.2539356605065024</v>
      </c>
      <c r="C52" s="5">
        <v>146.1</v>
      </c>
      <c r="D52" s="5">
        <v>37.1</v>
      </c>
      <c r="E52" s="3" t="s">
        <v>7</v>
      </c>
      <c r="F52" s="6">
        <v>44746.164583333331</v>
      </c>
    </row>
    <row r="53" spans="1:6" x14ac:dyDescent="0.3">
      <c r="A53" s="3">
        <v>52</v>
      </c>
      <c r="B53" s="4">
        <f t="shared" si="0"/>
        <v>0.25456053067993367</v>
      </c>
      <c r="C53" s="5">
        <v>120.6</v>
      </c>
      <c r="D53" s="5">
        <v>30.7</v>
      </c>
      <c r="E53" s="3" t="s">
        <v>7</v>
      </c>
      <c r="F53" s="6">
        <v>46013.918055555558</v>
      </c>
    </row>
    <row r="54" spans="1:6" x14ac:dyDescent="0.3">
      <c r="A54" s="3">
        <v>53</v>
      </c>
      <c r="B54" s="4">
        <f t="shared" si="0"/>
        <v>0.2572533849129594</v>
      </c>
      <c r="C54" s="5">
        <v>206.8</v>
      </c>
      <c r="D54" s="5">
        <v>53.2</v>
      </c>
      <c r="E54" s="3" t="s">
        <v>11</v>
      </c>
      <c r="F54" s="6">
        <v>44817.57708333333</v>
      </c>
    </row>
    <row r="55" spans="1:6" x14ac:dyDescent="0.3">
      <c r="A55" s="3">
        <v>54</v>
      </c>
      <c r="B55" s="4">
        <f t="shared" si="0"/>
        <v>0.25842696629213485</v>
      </c>
      <c r="C55" s="5">
        <v>133.5</v>
      </c>
      <c r="D55" s="5">
        <v>34.5</v>
      </c>
      <c r="E55" s="3" t="s">
        <v>11</v>
      </c>
      <c r="F55" s="6">
        <v>44854.911111111112</v>
      </c>
    </row>
    <row r="56" spans="1:6" x14ac:dyDescent="0.3">
      <c r="A56" s="3">
        <v>55</v>
      </c>
      <c r="B56" s="4">
        <f t="shared" si="0"/>
        <v>0.26021400778210119</v>
      </c>
      <c r="C56" s="5">
        <v>205.6</v>
      </c>
      <c r="D56" s="5">
        <v>53.5</v>
      </c>
      <c r="E56" s="3" t="s">
        <v>11</v>
      </c>
      <c r="F56" s="6">
        <v>44832.42083333333</v>
      </c>
    </row>
    <row r="57" spans="1:6" x14ac:dyDescent="0.3">
      <c r="A57" s="3">
        <v>56</v>
      </c>
      <c r="B57" s="4">
        <f t="shared" si="0"/>
        <v>0.26110006626905236</v>
      </c>
      <c r="C57" s="5">
        <v>150.9</v>
      </c>
      <c r="D57" s="5">
        <v>39.4</v>
      </c>
      <c r="E57" s="3" t="s">
        <v>7</v>
      </c>
      <c r="F57" s="6">
        <v>44760.51666666667</v>
      </c>
    </row>
    <row r="58" spans="1:6" x14ac:dyDescent="0.3">
      <c r="A58" s="3">
        <v>57</v>
      </c>
      <c r="B58" s="4">
        <f t="shared" si="0"/>
        <v>0.26262626262626265</v>
      </c>
      <c r="C58" s="5">
        <v>79.2</v>
      </c>
      <c r="D58" s="5">
        <v>20.8</v>
      </c>
      <c r="E58" s="3" t="s">
        <v>11</v>
      </c>
      <c r="F58" s="6">
        <v>45296.556250000001</v>
      </c>
    </row>
    <row r="59" spans="1:6" x14ac:dyDescent="0.3">
      <c r="A59" s="3">
        <v>58</v>
      </c>
      <c r="B59" s="4">
        <f t="shared" si="0"/>
        <v>0.26302881667688532</v>
      </c>
      <c r="C59" s="5">
        <v>163.1</v>
      </c>
      <c r="D59" s="5">
        <v>42.9</v>
      </c>
      <c r="E59" s="3" t="s">
        <v>7</v>
      </c>
      <c r="F59" s="6">
        <v>45118.334027777782</v>
      </c>
    </row>
    <row r="60" spans="1:6" x14ac:dyDescent="0.3">
      <c r="A60" s="3">
        <v>59</v>
      </c>
      <c r="B60" s="4">
        <f t="shared" si="0"/>
        <v>0.26376554174067496</v>
      </c>
      <c r="C60" s="5">
        <v>225.2</v>
      </c>
      <c r="D60" s="5">
        <v>59.4</v>
      </c>
      <c r="E60" s="3" t="s">
        <v>11</v>
      </c>
      <c r="F60" s="6">
        <v>44868.504166666673</v>
      </c>
    </row>
    <row r="61" spans="1:6" x14ac:dyDescent="0.3">
      <c r="A61" s="3">
        <v>60</v>
      </c>
      <c r="B61" s="4">
        <f t="shared" si="0"/>
        <v>0.26609724047306177</v>
      </c>
      <c r="C61" s="5">
        <v>152.19999999999999</v>
      </c>
      <c r="D61" s="5">
        <v>40.5</v>
      </c>
      <c r="E61" s="3" t="s">
        <v>7</v>
      </c>
      <c r="F61" s="6">
        <v>45274.323611111111</v>
      </c>
    </row>
    <row r="62" spans="1:6" x14ac:dyDescent="0.3">
      <c r="A62" s="3">
        <v>61</v>
      </c>
      <c r="B62" s="4">
        <f t="shared" si="0"/>
        <v>0.26716417910447759</v>
      </c>
      <c r="C62" s="5">
        <v>134</v>
      </c>
      <c r="D62" s="5">
        <v>35.799999999999997</v>
      </c>
      <c r="E62" s="3" t="s">
        <v>7</v>
      </c>
      <c r="F62" s="6">
        <v>45832.552083333343</v>
      </c>
    </row>
    <row r="63" spans="1:6" x14ac:dyDescent="0.3">
      <c r="A63" s="3">
        <v>62</v>
      </c>
      <c r="B63" s="4">
        <f t="shared" si="0"/>
        <v>0.26823387582881253</v>
      </c>
      <c r="C63" s="5">
        <v>165.9</v>
      </c>
      <c r="D63" s="5">
        <v>44.5</v>
      </c>
      <c r="E63" s="3" t="s">
        <v>11</v>
      </c>
      <c r="F63" s="6">
        <v>45237.8125</v>
      </c>
    </row>
    <row r="64" spans="1:6" x14ac:dyDescent="0.3">
      <c r="A64" s="3">
        <v>63</v>
      </c>
      <c r="B64" s="4">
        <f t="shared" si="0"/>
        <v>0.26901669758812619</v>
      </c>
      <c r="C64" s="5">
        <v>161.69999999999999</v>
      </c>
      <c r="D64" s="5">
        <v>43.5</v>
      </c>
      <c r="E64" s="3" t="s">
        <v>7</v>
      </c>
      <c r="F64" s="6">
        <v>45476.768055555563</v>
      </c>
    </row>
    <row r="65" spans="1:6" x14ac:dyDescent="0.3">
      <c r="A65" s="3">
        <v>64</v>
      </c>
      <c r="B65" s="4">
        <f t="shared" si="0"/>
        <v>0.2692101020956475</v>
      </c>
      <c r="C65" s="5">
        <v>186.1</v>
      </c>
      <c r="D65" s="5">
        <v>50.1</v>
      </c>
      <c r="E65" s="3" t="s">
        <v>7</v>
      </c>
      <c r="F65" s="6">
        <v>44872.51666666667</v>
      </c>
    </row>
    <row r="66" spans="1:6" x14ac:dyDescent="0.3">
      <c r="A66" s="3">
        <v>65</v>
      </c>
      <c r="B66" s="4">
        <f t="shared" ref="B66:B129" si="2">D66/C66</f>
        <v>0.27017114914425433</v>
      </c>
      <c r="C66" s="5">
        <v>81.8</v>
      </c>
      <c r="D66" s="5">
        <v>22.1</v>
      </c>
      <c r="E66" s="3" t="s">
        <v>7</v>
      </c>
      <c r="F66" s="6">
        <v>45662.917361111111</v>
      </c>
    </row>
    <row r="67" spans="1:6" x14ac:dyDescent="0.3">
      <c r="A67" s="3">
        <v>66</v>
      </c>
      <c r="B67" s="4">
        <f t="shared" si="2"/>
        <v>0.27272727272727271</v>
      </c>
      <c r="C67" s="5">
        <v>135.30000000000001</v>
      </c>
      <c r="D67" s="5">
        <v>36.9</v>
      </c>
      <c r="E67" s="3" t="s">
        <v>11</v>
      </c>
      <c r="F67" s="6">
        <v>44622.06527777778</v>
      </c>
    </row>
    <row r="68" spans="1:6" x14ac:dyDescent="0.3">
      <c r="A68" s="3">
        <v>67</v>
      </c>
      <c r="B68" s="4">
        <f t="shared" si="2"/>
        <v>0.27284826974267967</v>
      </c>
      <c r="C68" s="5">
        <v>225.4</v>
      </c>
      <c r="D68" s="5">
        <v>61.5</v>
      </c>
      <c r="E68" s="3" t="s">
        <v>7</v>
      </c>
      <c r="F68" s="6">
        <v>44888.791666666657</v>
      </c>
    </row>
    <row r="69" spans="1:6" x14ac:dyDescent="0.3">
      <c r="A69" s="3">
        <v>68</v>
      </c>
      <c r="B69" s="4">
        <f t="shared" si="2"/>
        <v>0.27353815659068387</v>
      </c>
      <c r="C69" s="5">
        <v>100.9</v>
      </c>
      <c r="D69" s="5">
        <v>27.6</v>
      </c>
      <c r="E69" s="3" t="s">
        <v>7</v>
      </c>
      <c r="F69" s="6">
        <v>45001.881944444453</v>
      </c>
    </row>
    <row r="70" spans="1:6" x14ac:dyDescent="0.3">
      <c r="A70" s="3">
        <v>69</v>
      </c>
      <c r="B70" s="4">
        <f t="shared" si="2"/>
        <v>0.27375565610859726</v>
      </c>
      <c r="C70" s="5">
        <v>132.6</v>
      </c>
      <c r="D70" s="5">
        <v>36.299999999999997</v>
      </c>
      <c r="E70" s="3" t="s">
        <v>7</v>
      </c>
      <c r="F70" s="6">
        <v>44617.003472222219</v>
      </c>
    </row>
    <row r="71" spans="1:6" x14ac:dyDescent="0.3">
      <c r="A71" s="3">
        <v>70</v>
      </c>
      <c r="B71" s="4">
        <f t="shared" si="2"/>
        <v>0.27484047402005468</v>
      </c>
      <c r="C71" s="5">
        <v>219.4</v>
      </c>
      <c r="D71" s="5">
        <v>60.3</v>
      </c>
      <c r="E71" s="3" t="s">
        <v>7</v>
      </c>
      <c r="F71" s="6">
        <v>45769.037499999999</v>
      </c>
    </row>
    <row r="72" spans="1:6" x14ac:dyDescent="0.3">
      <c r="A72" s="3">
        <v>71</v>
      </c>
      <c r="B72" s="4">
        <f t="shared" si="2"/>
        <v>0.27502579979360164</v>
      </c>
      <c r="C72" s="5">
        <v>193.8</v>
      </c>
      <c r="D72" s="5">
        <v>53.3</v>
      </c>
      <c r="E72" s="3" t="s">
        <v>7</v>
      </c>
      <c r="F72" s="6">
        <v>44859.599305555559</v>
      </c>
    </row>
    <row r="73" spans="1:6" x14ac:dyDescent="0.3">
      <c r="A73" s="3">
        <v>72</v>
      </c>
      <c r="B73" s="4">
        <f t="shared" si="2"/>
        <v>0.27538522323192416</v>
      </c>
      <c r="C73" s="5">
        <v>253.1</v>
      </c>
      <c r="D73" s="5">
        <v>69.7</v>
      </c>
      <c r="E73" s="3" t="s">
        <v>7</v>
      </c>
      <c r="F73" s="6">
        <v>45750.461805555547</v>
      </c>
    </row>
    <row r="74" spans="1:6" x14ac:dyDescent="0.3">
      <c r="A74" s="3">
        <v>73</v>
      </c>
      <c r="B74" s="4">
        <f t="shared" si="2"/>
        <v>0.27662178702570378</v>
      </c>
      <c r="C74" s="5">
        <v>163.4</v>
      </c>
      <c r="D74" s="5">
        <v>45.2</v>
      </c>
      <c r="E74" s="3" t="s">
        <v>11</v>
      </c>
      <c r="F74" s="6">
        <v>45033.301388888889</v>
      </c>
    </row>
    <row r="75" spans="1:6" x14ac:dyDescent="0.3">
      <c r="A75" s="3">
        <v>74</v>
      </c>
      <c r="B75" s="4">
        <f t="shared" si="2"/>
        <v>0.27687916270218843</v>
      </c>
      <c r="C75" s="5">
        <v>105.1</v>
      </c>
      <c r="D75" s="5">
        <v>29.1</v>
      </c>
      <c r="E75" s="3" t="s">
        <v>11</v>
      </c>
      <c r="F75" s="6">
        <v>45404.088888888888</v>
      </c>
    </row>
    <row r="76" spans="1:6" x14ac:dyDescent="0.3">
      <c r="A76" s="3">
        <v>75</v>
      </c>
      <c r="B76" s="4">
        <f t="shared" si="2"/>
        <v>0.27720739219712526</v>
      </c>
      <c r="C76" s="5">
        <v>146.1</v>
      </c>
      <c r="D76" s="5">
        <v>40.5</v>
      </c>
      <c r="E76" s="3" t="s">
        <v>11</v>
      </c>
      <c r="F76" s="6">
        <v>44511.280555555553</v>
      </c>
    </row>
    <row r="77" spans="1:6" x14ac:dyDescent="0.3">
      <c r="A77" s="3">
        <v>76</v>
      </c>
      <c r="B77" s="4">
        <f t="shared" si="2"/>
        <v>0.27809890815671162</v>
      </c>
      <c r="C77" s="5">
        <v>155.69999999999999</v>
      </c>
      <c r="D77" s="5">
        <v>43.3</v>
      </c>
      <c r="E77" s="3" t="s">
        <v>7</v>
      </c>
      <c r="F77" s="6">
        <v>45550.878472222219</v>
      </c>
    </row>
    <row r="78" spans="1:6" x14ac:dyDescent="0.3">
      <c r="A78" s="3">
        <v>77</v>
      </c>
      <c r="B78" s="4">
        <f t="shared" si="2"/>
        <v>0.27900797165633301</v>
      </c>
      <c r="C78" s="5">
        <v>112.9</v>
      </c>
      <c r="D78" s="5">
        <v>31.5</v>
      </c>
      <c r="E78" s="3" t="s">
        <v>7</v>
      </c>
      <c r="F78" s="6">
        <v>44636.933333333327</v>
      </c>
    </row>
    <row r="79" spans="1:6" x14ac:dyDescent="0.3">
      <c r="A79" s="3">
        <v>78</v>
      </c>
      <c r="B79" s="4">
        <f t="shared" si="2"/>
        <v>0.27936962750716332</v>
      </c>
      <c r="C79" s="5">
        <v>139.6</v>
      </c>
      <c r="D79" s="5">
        <v>39</v>
      </c>
      <c r="E79" s="3" t="s">
        <v>11</v>
      </c>
      <c r="F79" s="6">
        <v>44741.0625</v>
      </c>
    </row>
    <row r="80" spans="1:6" x14ac:dyDescent="0.3">
      <c r="A80" s="3">
        <v>79</v>
      </c>
      <c r="B80" s="4">
        <f t="shared" si="2"/>
        <v>0.28004667444574094</v>
      </c>
      <c r="C80" s="5">
        <v>85.7</v>
      </c>
      <c r="D80" s="5">
        <v>24</v>
      </c>
      <c r="E80" s="3" t="s">
        <v>11</v>
      </c>
      <c r="F80" s="6">
        <v>45688.879861111112</v>
      </c>
    </row>
    <row r="81" spans="1:6" x14ac:dyDescent="0.3">
      <c r="A81" s="3">
        <v>80</v>
      </c>
      <c r="B81" s="4">
        <f t="shared" si="2"/>
        <v>0.28029079159935383</v>
      </c>
      <c r="C81" s="5">
        <v>123.8</v>
      </c>
      <c r="D81" s="5">
        <v>34.700000000000003</v>
      </c>
      <c r="E81" s="3" t="s">
        <v>7</v>
      </c>
      <c r="F81" s="6">
        <v>44771.732638888891</v>
      </c>
    </row>
    <row r="82" spans="1:6" x14ac:dyDescent="0.3">
      <c r="A82" s="3">
        <v>81</v>
      </c>
      <c r="B82" s="4">
        <f t="shared" si="2"/>
        <v>0.28109965635738832</v>
      </c>
      <c r="C82" s="5">
        <v>145.5</v>
      </c>
      <c r="D82" s="5">
        <v>40.9</v>
      </c>
      <c r="E82" s="3" t="s">
        <v>7</v>
      </c>
      <c r="F82" s="6">
        <v>44985.338194444441</v>
      </c>
    </row>
    <row r="83" spans="1:6" x14ac:dyDescent="0.3">
      <c r="A83" s="3">
        <v>82</v>
      </c>
      <c r="B83" s="4">
        <f t="shared" si="2"/>
        <v>0.28392484342379959</v>
      </c>
      <c r="C83" s="5">
        <v>95.8</v>
      </c>
      <c r="D83" s="5">
        <v>27.2</v>
      </c>
      <c r="E83" s="3" t="s">
        <v>11</v>
      </c>
      <c r="F83" s="6">
        <v>45664.731944444437</v>
      </c>
    </row>
    <row r="84" spans="1:6" x14ac:dyDescent="0.3">
      <c r="A84" s="3">
        <v>83</v>
      </c>
      <c r="B84" s="4">
        <f t="shared" si="2"/>
        <v>0.28483491885842194</v>
      </c>
      <c r="C84" s="5">
        <v>178.7</v>
      </c>
      <c r="D84" s="5">
        <v>50.9</v>
      </c>
      <c r="E84" s="3" t="s">
        <v>7</v>
      </c>
      <c r="F84" s="6">
        <v>44833.597222222219</v>
      </c>
    </row>
    <row r="85" spans="1:6" x14ac:dyDescent="0.3">
      <c r="A85" s="3">
        <v>84</v>
      </c>
      <c r="B85" s="4">
        <f t="shared" si="2"/>
        <v>0.2873082287308229</v>
      </c>
      <c r="C85" s="5">
        <v>143.4</v>
      </c>
      <c r="D85" s="5">
        <v>41.2</v>
      </c>
      <c r="E85" s="3" t="s">
        <v>11</v>
      </c>
      <c r="F85" s="6">
        <v>45495.458333333343</v>
      </c>
    </row>
    <row r="86" spans="1:6" x14ac:dyDescent="0.3">
      <c r="A86" s="3">
        <v>85</v>
      </c>
      <c r="B86" s="4">
        <f t="shared" si="2"/>
        <v>0.29110194460813199</v>
      </c>
      <c r="C86" s="5">
        <v>169.7</v>
      </c>
      <c r="D86" s="5">
        <v>49.4</v>
      </c>
      <c r="E86" s="3" t="s">
        <v>7</v>
      </c>
      <c r="F86" s="6">
        <v>45624.336111111108</v>
      </c>
    </row>
    <row r="87" spans="1:6" x14ac:dyDescent="0.3">
      <c r="A87" s="3">
        <v>86</v>
      </c>
      <c r="B87" s="4">
        <f t="shared" si="2"/>
        <v>0.29112833763996554</v>
      </c>
      <c r="C87" s="5">
        <v>116.1</v>
      </c>
      <c r="D87" s="5">
        <v>33.799999999999997</v>
      </c>
      <c r="E87" s="3" t="s">
        <v>11</v>
      </c>
      <c r="F87" s="6">
        <v>45751.225694444453</v>
      </c>
    </row>
    <row r="88" spans="1:6" x14ac:dyDescent="0.3">
      <c r="A88" s="3">
        <v>87</v>
      </c>
      <c r="B88" s="4">
        <f t="shared" si="2"/>
        <v>0.29161882893226176</v>
      </c>
      <c r="C88" s="5">
        <v>87.1</v>
      </c>
      <c r="D88" s="5">
        <v>25.4</v>
      </c>
      <c r="E88" s="3" t="s">
        <v>7</v>
      </c>
      <c r="F88" s="6">
        <v>45861.566666666673</v>
      </c>
    </row>
    <row r="89" spans="1:6" x14ac:dyDescent="0.3">
      <c r="A89" s="3">
        <v>88</v>
      </c>
      <c r="B89" s="4">
        <f t="shared" si="2"/>
        <v>0.29380764163372858</v>
      </c>
      <c r="C89" s="5">
        <v>75.900000000000006</v>
      </c>
      <c r="D89" s="5">
        <v>22.3</v>
      </c>
      <c r="E89" s="3" t="s">
        <v>11</v>
      </c>
      <c r="F89" s="6">
        <v>44827.259027777778</v>
      </c>
    </row>
    <row r="90" spans="1:6" x14ac:dyDescent="0.3">
      <c r="A90" s="3">
        <v>89</v>
      </c>
      <c r="B90" s="4">
        <f t="shared" si="2"/>
        <v>0.29515418502202645</v>
      </c>
      <c r="C90" s="5">
        <v>90.8</v>
      </c>
      <c r="D90" s="5">
        <v>26.8</v>
      </c>
      <c r="E90" s="3" t="s">
        <v>11</v>
      </c>
      <c r="F90" s="6">
        <v>46267.570138888892</v>
      </c>
    </row>
    <row r="91" spans="1:6" x14ac:dyDescent="0.3">
      <c r="A91" s="3">
        <v>90</v>
      </c>
      <c r="B91" s="4">
        <f t="shared" si="2"/>
        <v>0.29521586931155192</v>
      </c>
      <c r="C91" s="5">
        <v>171.4</v>
      </c>
      <c r="D91" s="5">
        <v>50.6</v>
      </c>
      <c r="E91" s="3" t="s">
        <v>7</v>
      </c>
      <c r="F91" s="6">
        <v>45484.740277777782</v>
      </c>
    </row>
    <row r="92" spans="1:6" x14ac:dyDescent="0.3">
      <c r="A92" s="3">
        <v>91</v>
      </c>
      <c r="B92" s="4">
        <f t="shared" si="2"/>
        <v>0.29572446555819476</v>
      </c>
      <c r="C92" s="5">
        <v>84.2</v>
      </c>
      <c r="D92" s="5">
        <v>24.9</v>
      </c>
      <c r="E92" s="3" t="s">
        <v>7</v>
      </c>
      <c r="F92" s="6">
        <v>44573.429861111108</v>
      </c>
    </row>
    <row r="93" spans="1:6" x14ac:dyDescent="0.3">
      <c r="A93" s="3">
        <v>92</v>
      </c>
      <c r="B93" s="4">
        <f t="shared" si="2"/>
        <v>0.29625550660792949</v>
      </c>
      <c r="C93" s="5">
        <v>90.8</v>
      </c>
      <c r="D93" s="5">
        <v>26.9</v>
      </c>
      <c r="E93" s="3" t="s">
        <v>11</v>
      </c>
      <c r="F93" s="6">
        <v>46197.258333333331</v>
      </c>
    </row>
    <row r="94" spans="1:6" x14ac:dyDescent="0.3">
      <c r="A94" s="3">
        <v>93</v>
      </c>
      <c r="B94" s="4">
        <f t="shared" si="2"/>
        <v>0.29763866007688083</v>
      </c>
      <c r="C94" s="5">
        <v>182.1</v>
      </c>
      <c r="D94" s="5">
        <v>54.2</v>
      </c>
      <c r="E94" s="3" t="s">
        <v>7</v>
      </c>
      <c r="F94" s="6">
        <v>45275.394444444442</v>
      </c>
    </row>
    <row r="95" spans="1:6" x14ac:dyDescent="0.3">
      <c r="A95" s="3">
        <v>94</v>
      </c>
      <c r="B95" s="4">
        <f t="shared" si="2"/>
        <v>0.29779058597502406</v>
      </c>
      <c r="C95" s="5">
        <v>104.1</v>
      </c>
      <c r="D95" s="5">
        <v>31</v>
      </c>
      <c r="E95" s="3" t="s">
        <v>7</v>
      </c>
      <c r="F95" s="6">
        <v>45042.520833333343</v>
      </c>
    </row>
    <row r="96" spans="1:6" x14ac:dyDescent="0.3">
      <c r="A96" s="3">
        <v>95</v>
      </c>
      <c r="B96" s="4">
        <f t="shared" si="2"/>
        <v>0.29958463136033231</v>
      </c>
      <c r="C96" s="5">
        <v>192.6</v>
      </c>
      <c r="D96" s="5">
        <v>57.7</v>
      </c>
      <c r="E96" s="3" t="s">
        <v>11</v>
      </c>
      <c r="F96" s="6">
        <v>45751.772916666669</v>
      </c>
    </row>
    <row r="97" spans="1:6" x14ac:dyDescent="0.3">
      <c r="A97" s="3">
        <v>96</v>
      </c>
      <c r="B97" s="4">
        <f t="shared" si="2"/>
        <v>0.30064516129032259</v>
      </c>
      <c r="C97" s="5">
        <v>77.5</v>
      </c>
      <c r="D97" s="5">
        <v>23.3</v>
      </c>
      <c r="E97" s="3" t="s">
        <v>7</v>
      </c>
      <c r="F97" s="6">
        <v>45438.875694444447</v>
      </c>
    </row>
    <row r="98" spans="1:6" x14ac:dyDescent="0.3">
      <c r="A98" s="3">
        <v>97</v>
      </c>
      <c r="B98" s="4">
        <f t="shared" si="2"/>
        <v>0.30120481927710846</v>
      </c>
      <c r="C98" s="5">
        <v>182.6</v>
      </c>
      <c r="D98" s="5">
        <v>55</v>
      </c>
      <c r="E98" s="3" t="s">
        <v>11</v>
      </c>
      <c r="F98" s="6">
        <v>45665.495138888888</v>
      </c>
    </row>
    <row r="99" spans="1:6" x14ac:dyDescent="0.3">
      <c r="A99" s="3">
        <v>98</v>
      </c>
      <c r="B99" s="4">
        <f t="shared" si="2"/>
        <v>0.30126002290950749</v>
      </c>
      <c r="C99" s="5">
        <v>174.6</v>
      </c>
      <c r="D99" s="5">
        <v>52.6</v>
      </c>
      <c r="E99" s="3" t="s">
        <v>11</v>
      </c>
      <c r="F99" s="6">
        <v>44830.65</v>
      </c>
    </row>
    <row r="100" spans="1:6" x14ac:dyDescent="0.3">
      <c r="A100" s="3">
        <v>99</v>
      </c>
      <c r="B100" s="4">
        <f t="shared" si="2"/>
        <v>0.30138637733574442</v>
      </c>
      <c r="C100" s="5">
        <v>165.9</v>
      </c>
      <c r="D100" s="5">
        <v>50</v>
      </c>
      <c r="E100" s="3" t="s">
        <v>7</v>
      </c>
      <c r="F100" s="6">
        <v>44883.275000000001</v>
      </c>
    </row>
    <row r="101" spans="1:6" x14ac:dyDescent="0.3">
      <c r="A101" s="3">
        <v>100</v>
      </c>
      <c r="B101" s="4">
        <f t="shared" si="2"/>
        <v>0.30290262172284649</v>
      </c>
      <c r="C101" s="5">
        <v>213.6</v>
      </c>
      <c r="D101" s="5">
        <v>64.7</v>
      </c>
      <c r="E101" s="3" t="s">
        <v>7</v>
      </c>
      <c r="F101" s="6">
        <v>45757.564583333333</v>
      </c>
    </row>
    <row r="102" spans="1:6" x14ac:dyDescent="0.3">
      <c r="A102" s="3">
        <v>101</v>
      </c>
      <c r="B102" s="4">
        <f t="shared" si="2"/>
        <v>0.30363321799307963</v>
      </c>
      <c r="C102" s="5">
        <v>115.6</v>
      </c>
      <c r="D102" s="5">
        <v>35.1</v>
      </c>
      <c r="E102" s="3" t="s">
        <v>11</v>
      </c>
      <c r="F102" s="6">
        <v>45940.225694444453</v>
      </c>
    </row>
    <row r="103" spans="1:6" x14ac:dyDescent="0.3">
      <c r="A103" s="3">
        <v>102</v>
      </c>
      <c r="B103" s="4">
        <f t="shared" si="2"/>
        <v>0.30465717981888746</v>
      </c>
      <c r="C103" s="5">
        <v>154.6</v>
      </c>
      <c r="D103" s="5">
        <v>47.1</v>
      </c>
      <c r="E103" s="3" t="s">
        <v>11</v>
      </c>
      <c r="F103" s="6">
        <v>44624.873611111107</v>
      </c>
    </row>
    <row r="104" spans="1:6" x14ac:dyDescent="0.3">
      <c r="A104" s="3">
        <v>103</v>
      </c>
      <c r="B104" s="4">
        <f t="shared" si="2"/>
        <v>0.3048780487804878</v>
      </c>
      <c r="C104" s="5">
        <v>172.2</v>
      </c>
      <c r="D104" s="5">
        <v>52.5</v>
      </c>
      <c r="E104" s="3" t="s">
        <v>11</v>
      </c>
      <c r="F104" s="6">
        <v>44460.417361111111</v>
      </c>
    </row>
    <row r="105" spans="1:6" x14ac:dyDescent="0.3">
      <c r="A105" s="3">
        <v>104</v>
      </c>
      <c r="B105" s="4">
        <f t="shared" si="2"/>
        <v>0.30579399141630903</v>
      </c>
      <c r="C105" s="5">
        <v>93.2</v>
      </c>
      <c r="D105" s="5">
        <v>28.5</v>
      </c>
      <c r="E105" s="3" t="s">
        <v>7</v>
      </c>
      <c r="F105" s="6">
        <v>44694.765972222223</v>
      </c>
    </row>
    <row r="106" spans="1:6" x14ac:dyDescent="0.3">
      <c r="A106" s="3">
        <v>105</v>
      </c>
      <c r="B106" s="4">
        <f t="shared" si="2"/>
        <v>0.30813953488372092</v>
      </c>
      <c r="C106" s="5">
        <v>189.2</v>
      </c>
      <c r="D106" s="5">
        <v>58.3</v>
      </c>
      <c r="E106" s="3" t="s">
        <v>11</v>
      </c>
      <c r="F106" s="6">
        <v>45393.552777777782</v>
      </c>
    </row>
    <row r="107" spans="1:6" x14ac:dyDescent="0.3">
      <c r="A107" s="3">
        <v>106</v>
      </c>
      <c r="B107" s="4">
        <f t="shared" si="2"/>
        <v>0.30832476875642345</v>
      </c>
      <c r="C107" s="5">
        <v>97.3</v>
      </c>
      <c r="D107" s="5">
        <v>30</v>
      </c>
      <c r="E107" s="3" t="s">
        <v>7</v>
      </c>
      <c r="F107" s="6">
        <v>45693.239583333343</v>
      </c>
    </row>
    <row r="108" spans="1:6" x14ac:dyDescent="0.3">
      <c r="A108" s="3">
        <v>107</v>
      </c>
      <c r="B108" s="4">
        <f t="shared" si="2"/>
        <v>0.3086021505376344</v>
      </c>
      <c r="C108" s="5">
        <v>93</v>
      </c>
      <c r="D108" s="5">
        <v>28.7</v>
      </c>
      <c r="E108" s="3" t="s">
        <v>11</v>
      </c>
      <c r="F108" s="6">
        <v>45366.488194444442</v>
      </c>
    </row>
    <row r="109" spans="1:6" x14ac:dyDescent="0.3">
      <c r="A109" s="3">
        <v>108</v>
      </c>
      <c r="B109" s="4">
        <f t="shared" si="2"/>
        <v>0.30860805860805862</v>
      </c>
      <c r="C109" s="5">
        <v>109.2</v>
      </c>
      <c r="D109" s="5">
        <v>33.700000000000003</v>
      </c>
      <c r="E109" s="3" t="s">
        <v>7</v>
      </c>
      <c r="F109" s="6">
        <v>44448.873611111107</v>
      </c>
    </row>
    <row r="110" spans="1:6" x14ac:dyDescent="0.3">
      <c r="A110" s="3">
        <v>109</v>
      </c>
      <c r="B110" s="4">
        <f t="shared" si="2"/>
        <v>0.3087248322147651</v>
      </c>
      <c r="C110" s="5">
        <v>74.5</v>
      </c>
      <c r="D110" s="5">
        <v>23</v>
      </c>
      <c r="E110" s="3" t="s">
        <v>7</v>
      </c>
      <c r="F110" s="6">
        <v>45775.473611111112</v>
      </c>
    </row>
    <row r="111" spans="1:6" x14ac:dyDescent="0.3">
      <c r="A111" s="3">
        <v>110</v>
      </c>
      <c r="B111" s="4">
        <f t="shared" si="2"/>
        <v>0.31015187849720222</v>
      </c>
      <c r="C111" s="5">
        <v>125.1</v>
      </c>
      <c r="D111" s="5">
        <v>38.799999999999997</v>
      </c>
      <c r="E111" s="3" t="s">
        <v>7</v>
      </c>
      <c r="F111" s="6">
        <v>45945.561805555553</v>
      </c>
    </row>
    <row r="112" spans="1:6" x14ac:dyDescent="0.3">
      <c r="A112" s="3">
        <v>111</v>
      </c>
      <c r="B112" s="4">
        <f t="shared" si="2"/>
        <v>0.31019332161687169</v>
      </c>
      <c r="C112" s="5">
        <v>113.8</v>
      </c>
      <c r="D112" s="5">
        <v>35.299999999999997</v>
      </c>
      <c r="E112" s="3" t="s">
        <v>7</v>
      </c>
      <c r="F112" s="6">
        <v>44994.850694444453</v>
      </c>
    </row>
    <row r="113" spans="1:6" x14ac:dyDescent="0.3">
      <c r="A113" s="3">
        <v>112</v>
      </c>
      <c r="B113" s="4">
        <f t="shared" si="2"/>
        <v>0.31020408163265306</v>
      </c>
      <c r="C113" s="5">
        <v>98</v>
      </c>
      <c r="D113" s="5">
        <v>30.4</v>
      </c>
      <c r="E113" s="3" t="s">
        <v>11</v>
      </c>
      <c r="F113" s="6">
        <v>44824.824999999997</v>
      </c>
    </row>
    <row r="114" spans="1:6" x14ac:dyDescent="0.3">
      <c r="A114" s="3">
        <v>113</v>
      </c>
      <c r="B114" s="4">
        <f t="shared" si="2"/>
        <v>0.31053351573187415</v>
      </c>
      <c r="C114" s="5">
        <v>73.099999999999994</v>
      </c>
      <c r="D114" s="5">
        <v>22.7</v>
      </c>
      <c r="E114" s="3" t="s">
        <v>11</v>
      </c>
      <c r="F114" s="6">
        <v>45791.672222222223</v>
      </c>
    </row>
    <row r="115" spans="1:6" x14ac:dyDescent="0.3">
      <c r="A115" s="3">
        <v>114</v>
      </c>
      <c r="B115" s="4">
        <f t="shared" si="2"/>
        <v>0.31155378486055779</v>
      </c>
      <c r="C115" s="5">
        <v>125.5</v>
      </c>
      <c r="D115" s="5">
        <v>39.1</v>
      </c>
      <c r="E115" s="3" t="s">
        <v>7</v>
      </c>
      <c r="F115" s="6">
        <v>45691.636805555558</v>
      </c>
    </row>
    <row r="116" spans="1:6" x14ac:dyDescent="0.3">
      <c r="A116" s="3">
        <v>115</v>
      </c>
      <c r="B116" s="4">
        <f t="shared" si="2"/>
        <v>0.31182795698924731</v>
      </c>
      <c r="C116" s="5">
        <v>120.9</v>
      </c>
      <c r="D116" s="5">
        <v>37.700000000000003</v>
      </c>
      <c r="E116" s="3" t="s">
        <v>11</v>
      </c>
      <c r="F116" s="6">
        <v>44756.145833333343</v>
      </c>
    </row>
    <row r="117" spans="1:6" x14ac:dyDescent="0.3">
      <c r="A117" s="3">
        <v>116</v>
      </c>
      <c r="B117" s="4">
        <f t="shared" si="2"/>
        <v>0.31191037735849059</v>
      </c>
      <c r="C117" s="5">
        <v>169.6</v>
      </c>
      <c r="D117" s="5">
        <v>52.9</v>
      </c>
      <c r="E117" s="3" t="s">
        <v>11</v>
      </c>
      <c r="F117" s="6">
        <v>46031.571527777778</v>
      </c>
    </row>
    <row r="118" spans="1:6" x14ac:dyDescent="0.3">
      <c r="A118" s="3">
        <v>117</v>
      </c>
      <c r="B118" s="4">
        <f t="shared" si="2"/>
        <v>0.3133159268929504</v>
      </c>
      <c r="C118" s="5">
        <v>114.9</v>
      </c>
      <c r="D118" s="5">
        <v>36</v>
      </c>
      <c r="E118" s="3" t="s">
        <v>7</v>
      </c>
      <c r="F118" s="6">
        <v>45120.25</v>
      </c>
    </row>
    <row r="119" spans="1:6" x14ac:dyDescent="0.3">
      <c r="A119" s="3">
        <v>118</v>
      </c>
      <c r="B119" s="4">
        <f t="shared" si="2"/>
        <v>0.31364829396325455</v>
      </c>
      <c r="C119" s="5">
        <v>76.2</v>
      </c>
      <c r="D119" s="5">
        <v>23.9</v>
      </c>
      <c r="E119" s="3" t="s">
        <v>7</v>
      </c>
      <c r="F119" s="6">
        <v>45114.34097222222</v>
      </c>
    </row>
    <row r="120" spans="1:6" x14ac:dyDescent="0.3">
      <c r="A120" s="3">
        <v>119</v>
      </c>
      <c r="B120" s="4">
        <f t="shared" si="2"/>
        <v>0.3137535816618911</v>
      </c>
      <c r="C120" s="5">
        <v>69.8</v>
      </c>
      <c r="D120" s="5">
        <v>21.9</v>
      </c>
      <c r="E120" s="3" t="s">
        <v>11</v>
      </c>
      <c r="F120" s="6">
        <v>45607.677777777782</v>
      </c>
    </row>
    <row r="121" spans="1:6" x14ac:dyDescent="0.3">
      <c r="A121" s="3">
        <v>120</v>
      </c>
      <c r="B121" s="4">
        <f t="shared" si="2"/>
        <v>0.31564245810055869</v>
      </c>
      <c r="C121" s="5">
        <v>71.599999999999994</v>
      </c>
      <c r="D121" s="5">
        <v>22.6</v>
      </c>
      <c r="E121" s="3" t="s">
        <v>11</v>
      </c>
      <c r="F121" s="6">
        <v>44496.293055555558</v>
      </c>
    </row>
    <row r="122" spans="1:6" x14ac:dyDescent="0.3">
      <c r="A122" s="3">
        <v>121</v>
      </c>
      <c r="B122" s="4">
        <f t="shared" si="2"/>
        <v>0.31572327044025161</v>
      </c>
      <c r="C122" s="5">
        <v>79.5</v>
      </c>
      <c r="D122" s="5">
        <v>25.1</v>
      </c>
      <c r="E122" s="3" t="s">
        <v>11</v>
      </c>
      <c r="F122" s="6">
        <v>44789.134027777778</v>
      </c>
    </row>
    <row r="123" spans="1:6" x14ac:dyDescent="0.3">
      <c r="A123" s="3">
        <v>122</v>
      </c>
      <c r="B123" s="4">
        <f t="shared" si="2"/>
        <v>0.31601731601731597</v>
      </c>
      <c r="C123" s="5">
        <v>92.4</v>
      </c>
      <c r="D123" s="5">
        <v>29.2</v>
      </c>
      <c r="E123" s="3" t="s">
        <v>7</v>
      </c>
      <c r="F123" s="6">
        <v>45133.074999999997</v>
      </c>
    </row>
    <row r="124" spans="1:6" x14ac:dyDescent="0.3">
      <c r="A124" s="3">
        <v>123</v>
      </c>
      <c r="B124" s="4">
        <f t="shared" si="2"/>
        <v>0.31635651322233105</v>
      </c>
      <c r="C124" s="5">
        <v>102.1</v>
      </c>
      <c r="D124" s="5">
        <v>32.299999999999997</v>
      </c>
      <c r="E124" s="3" t="s">
        <v>7</v>
      </c>
      <c r="F124" s="6">
        <v>44546.248611111107</v>
      </c>
    </row>
    <row r="125" spans="1:6" x14ac:dyDescent="0.3">
      <c r="A125" s="3">
        <v>124</v>
      </c>
      <c r="B125" s="4">
        <f t="shared" si="2"/>
        <v>0.3164354322305229</v>
      </c>
      <c r="C125" s="5">
        <v>187.4</v>
      </c>
      <c r="D125" s="5">
        <v>59.3</v>
      </c>
      <c r="E125" s="3" t="s">
        <v>7</v>
      </c>
      <c r="F125" s="6">
        <v>44783.568749999999</v>
      </c>
    </row>
    <row r="126" spans="1:6" x14ac:dyDescent="0.3">
      <c r="A126" s="3">
        <v>125</v>
      </c>
      <c r="B126" s="4">
        <f t="shared" si="2"/>
        <v>0.31663187195546277</v>
      </c>
      <c r="C126" s="5">
        <v>143.69999999999999</v>
      </c>
      <c r="D126" s="5">
        <v>45.5</v>
      </c>
      <c r="E126" s="3" t="s">
        <v>7</v>
      </c>
      <c r="F126" s="6">
        <v>44473.292361111111</v>
      </c>
    </row>
    <row r="127" spans="1:6" x14ac:dyDescent="0.3">
      <c r="A127" s="3">
        <v>126</v>
      </c>
      <c r="B127" s="4">
        <f t="shared" si="2"/>
        <v>0.31727272727272726</v>
      </c>
      <c r="C127" s="5">
        <v>110</v>
      </c>
      <c r="D127" s="5">
        <v>34.9</v>
      </c>
      <c r="E127" s="3" t="s">
        <v>7</v>
      </c>
      <c r="F127" s="6">
        <v>44816.78125</v>
      </c>
    </row>
    <row r="128" spans="1:6" x14ac:dyDescent="0.3">
      <c r="A128" s="3">
        <v>127</v>
      </c>
      <c r="B128" s="4">
        <f t="shared" si="2"/>
        <v>0.31782020684168655</v>
      </c>
      <c r="C128" s="5">
        <v>251.4</v>
      </c>
      <c r="D128" s="5">
        <v>79.900000000000006</v>
      </c>
      <c r="E128" s="3" t="s">
        <v>11</v>
      </c>
      <c r="F128" s="6">
        <v>44840.75</v>
      </c>
    </row>
    <row r="129" spans="1:6" x14ac:dyDescent="0.3">
      <c r="A129" s="3">
        <v>128</v>
      </c>
      <c r="B129" s="4">
        <f t="shared" si="2"/>
        <v>0.31796116504854366</v>
      </c>
      <c r="C129" s="5">
        <v>123.6</v>
      </c>
      <c r="D129" s="5">
        <v>39.299999999999997</v>
      </c>
      <c r="E129" s="3" t="s">
        <v>11</v>
      </c>
      <c r="F129" s="6">
        <v>44643.661805555559</v>
      </c>
    </row>
    <row r="130" spans="1:6" x14ac:dyDescent="0.3">
      <c r="A130" s="3">
        <v>129</v>
      </c>
      <c r="B130" s="4">
        <f t="shared" ref="B130:B193" si="3">D130/C130</f>
        <v>0.31867057673509291</v>
      </c>
      <c r="C130" s="5">
        <v>204.6</v>
      </c>
      <c r="D130" s="5">
        <v>65.2</v>
      </c>
      <c r="E130" s="3" t="s">
        <v>11</v>
      </c>
      <c r="F130" s="6">
        <v>46157.453472222223</v>
      </c>
    </row>
    <row r="131" spans="1:6" x14ac:dyDescent="0.3">
      <c r="A131" s="3">
        <v>130</v>
      </c>
      <c r="B131" s="4">
        <f t="shared" si="3"/>
        <v>0.31963927855711421</v>
      </c>
      <c r="C131" s="5">
        <v>99.8</v>
      </c>
      <c r="D131" s="5">
        <v>31.9</v>
      </c>
      <c r="E131" s="3" t="s">
        <v>7</v>
      </c>
      <c r="F131" s="6">
        <v>45721.125694444447</v>
      </c>
    </row>
    <row r="132" spans="1:6" x14ac:dyDescent="0.3">
      <c r="A132" s="3">
        <v>131</v>
      </c>
      <c r="B132" s="4">
        <f t="shared" si="3"/>
        <v>0.3211267605633803</v>
      </c>
      <c r="C132" s="5">
        <v>142</v>
      </c>
      <c r="D132" s="5">
        <v>45.6</v>
      </c>
      <c r="E132" s="3" t="s">
        <v>7</v>
      </c>
      <c r="F132" s="6">
        <v>45719.859027777777</v>
      </c>
    </row>
    <row r="133" spans="1:6" x14ac:dyDescent="0.3">
      <c r="A133" s="3">
        <v>132</v>
      </c>
      <c r="B133" s="4">
        <f t="shared" si="3"/>
        <v>0.32165832737669764</v>
      </c>
      <c r="C133" s="5">
        <v>139.9</v>
      </c>
      <c r="D133" s="5">
        <v>45</v>
      </c>
      <c r="E133" s="3" t="s">
        <v>11</v>
      </c>
      <c r="F133" s="6">
        <v>45789.410416666673</v>
      </c>
    </row>
    <row r="134" spans="1:6" x14ac:dyDescent="0.3">
      <c r="A134" s="3">
        <v>133</v>
      </c>
      <c r="B134" s="4">
        <f t="shared" si="3"/>
        <v>0.32245258050286724</v>
      </c>
      <c r="C134" s="5">
        <v>226.7</v>
      </c>
      <c r="D134" s="5">
        <v>73.099999999999994</v>
      </c>
      <c r="E134" s="3" t="s">
        <v>11</v>
      </c>
      <c r="F134" s="6">
        <v>44748.04791666667</v>
      </c>
    </row>
    <row r="135" spans="1:6" x14ac:dyDescent="0.3">
      <c r="A135" s="3">
        <v>134</v>
      </c>
      <c r="B135" s="4">
        <f t="shared" si="3"/>
        <v>0.32395732298739088</v>
      </c>
      <c r="C135" s="5">
        <v>103.1</v>
      </c>
      <c r="D135" s="5">
        <v>33.4</v>
      </c>
      <c r="E135" s="3" t="s">
        <v>7</v>
      </c>
      <c r="F135" s="6">
        <v>45819.880555555559</v>
      </c>
    </row>
    <row r="136" spans="1:6" x14ac:dyDescent="0.3">
      <c r="A136" s="3">
        <v>135</v>
      </c>
      <c r="B136" s="4">
        <f t="shared" si="3"/>
        <v>0.32526315789473681</v>
      </c>
      <c r="C136" s="5">
        <v>190</v>
      </c>
      <c r="D136" s="5">
        <v>61.8</v>
      </c>
      <c r="E136" s="3" t="s">
        <v>7</v>
      </c>
      <c r="F136" s="6">
        <v>44838.71875</v>
      </c>
    </row>
    <row r="137" spans="1:6" x14ac:dyDescent="0.3">
      <c r="A137" s="3">
        <v>136</v>
      </c>
      <c r="B137" s="4">
        <f t="shared" si="3"/>
        <v>0.32753824756606398</v>
      </c>
      <c r="C137" s="5">
        <v>287.60000000000002</v>
      </c>
      <c r="D137" s="5">
        <v>94.2</v>
      </c>
      <c r="E137" s="3" t="s">
        <v>7</v>
      </c>
      <c r="F137" s="6">
        <v>44880.577777777777</v>
      </c>
    </row>
    <row r="138" spans="1:6" x14ac:dyDescent="0.3">
      <c r="A138" s="3">
        <v>137</v>
      </c>
      <c r="B138" s="4">
        <f t="shared" si="3"/>
        <v>0.33004926108374383</v>
      </c>
      <c r="C138" s="5">
        <v>203</v>
      </c>
      <c r="D138" s="5">
        <v>67</v>
      </c>
      <c r="E138" s="3" t="s">
        <v>11</v>
      </c>
      <c r="F138" s="6">
        <v>44960.642361111109</v>
      </c>
    </row>
    <row r="139" spans="1:6" x14ac:dyDescent="0.3">
      <c r="A139" s="3">
        <v>138</v>
      </c>
      <c r="B139" s="4">
        <f t="shared" si="3"/>
        <v>0.33130434782608698</v>
      </c>
      <c r="C139" s="5">
        <v>115</v>
      </c>
      <c r="D139" s="5">
        <v>38.1</v>
      </c>
      <c r="E139" s="3" t="s">
        <v>11</v>
      </c>
      <c r="F139" s="6">
        <v>45336.286805555559</v>
      </c>
    </row>
    <row r="140" spans="1:6" x14ac:dyDescent="0.3">
      <c r="A140" s="3">
        <v>139</v>
      </c>
      <c r="B140" s="4">
        <f t="shared" si="3"/>
        <v>0.3316831683168317</v>
      </c>
      <c r="C140" s="5">
        <v>161.6</v>
      </c>
      <c r="D140" s="5">
        <v>53.6</v>
      </c>
      <c r="E140" s="3" t="s">
        <v>7</v>
      </c>
      <c r="F140" s="6">
        <v>44830.079861111109</v>
      </c>
    </row>
    <row r="141" spans="1:6" x14ac:dyDescent="0.3">
      <c r="A141" s="3">
        <v>140</v>
      </c>
      <c r="B141" s="4">
        <f t="shared" si="3"/>
        <v>0.33217131474103584</v>
      </c>
      <c r="C141" s="5">
        <v>200.8</v>
      </c>
      <c r="D141" s="5">
        <v>66.7</v>
      </c>
      <c r="E141" s="3" t="s">
        <v>11</v>
      </c>
      <c r="F141" s="6">
        <v>44911.113194444442</v>
      </c>
    </row>
    <row r="142" spans="1:6" x14ac:dyDescent="0.3">
      <c r="A142" s="3">
        <v>141</v>
      </c>
      <c r="B142" s="4">
        <f t="shared" si="3"/>
        <v>0.3330843913368185</v>
      </c>
      <c r="C142" s="5">
        <v>133.9</v>
      </c>
      <c r="D142" s="5">
        <v>44.6</v>
      </c>
      <c r="E142" s="3" t="s">
        <v>11</v>
      </c>
      <c r="F142" s="6">
        <v>44795.138194444437</v>
      </c>
    </row>
    <row r="143" spans="1:6" x14ac:dyDescent="0.3">
      <c r="A143" s="3">
        <v>142</v>
      </c>
      <c r="B143" s="4">
        <f t="shared" si="3"/>
        <v>0.33333333333333331</v>
      </c>
      <c r="C143" s="5">
        <v>154.80000000000001</v>
      </c>
      <c r="D143" s="5">
        <v>51.6</v>
      </c>
      <c r="E143" s="3" t="s">
        <v>11</v>
      </c>
      <c r="F143" s="6">
        <v>44917.69027777778</v>
      </c>
    </row>
    <row r="144" spans="1:6" x14ac:dyDescent="0.3">
      <c r="A144" s="3">
        <v>143</v>
      </c>
      <c r="B144" s="4">
        <f t="shared" si="3"/>
        <v>0.33518665607625098</v>
      </c>
      <c r="C144" s="5">
        <v>125.9</v>
      </c>
      <c r="D144" s="5">
        <v>42.2</v>
      </c>
      <c r="E144" s="3" t="s">
        <v>7</v>
      </c>
      <c r="F144" s="6">
        <v>45904.616666666669</v>
      </c>
    </row>
    <row r="145" spans="1:6" x14ac:dyDescent="0.3">
      <c r="A145" s="3">
        <v>144</v>
      </c>
      <c r="B145" s="4">
        <f t="shared" si="3"/>
        <v>0.33537206931702346</v>
      </c>
      <c r="C145" s="5">
        <v>98.1</v>
      </c>
      <c r="D145" s="5">
        <v>32.9</v>
      </c>
      <c r="E145" s="3" t="s">
        <v>7</v>
      </c>
      <c r="F145" s="6">
        <v>45761.152777777781</v>
      </c>
    </row>
    <row r="146" spans="1:6" x14ac:dyDescent="0.3">
      <c r="A146" s="3">
        <v>145</v>
      </c>
      <c r="B146" s="4">
        <f t="shared" si="3"/>
        <v>0.33543577981651373</v>
      </c>
      <c r="C146" s="5">
        <v>174.4</v>
      </c>
      <c r="D146" s="5">
        <v>58.5</v>
      </c>
      <c r="E146" s="3" t="s">
        <v>11</v>
      </c>
      <c r="F146" s="6">
        <v>45902.361805555563</v>
      </c>
    </row>
    <row r="147" spans="1:6" x14ac:dyDescent="0.3">
      <c r="A147" s="3">
        <v>146</v>
      </c>
      <c r="B147" s="4">
        <f t="shared" si="3"/>
        <v>0.33602150537634412</v>
      </c>
      <c r="C147" s="5">
        <v>111.6</v>
      </c>
      <c r="D147" s="5">
        <v>37.5</v>
      </c>
      <c r="E147" s="3" t="s">
        <v>7</v>
      </c>
      <c r="F147" s="6">
        <v>44734.48541666667</v>
      </c>
    </row>
    <row r="148" spans="1:6" x14ac:dyDescent="0.3">
      <c r="A148" s="3">
        <v>147</v>
      </c>
      <c r="B148" s="4">
        <f t="shared" si="3"/>
        <v>0.33669354838709675</v>
      </c>
      <c r="C148" s="5">
        <v>148.80000000000001</v>
      </c>
      <c r="D148" s="5">
        <v>50.1</v>
      </c>
      <c r="E148" s="3" t="s">
        <v>7</v>
      </c>
      <c r="F148" s="6">
        <v>45758.395833333343</v>
      </c>
    </row>
    <row r="149" spans="1:6" x14ac:dyDescent="0.3">
      <c r="A149" s="3">
        <v>148</v>
      </c>
      <c r="B149" s="4">
        <f t="shared" si="3"/>
        <v>0.33686300463269359</v>
      </c>
      <c r="C149" s="5">
        <v>151.1</v>
      </c>
      <c r="D149" s="5">
        <v>50.9</v>
      </c>
      <c r="E149" s="3" t="s">
        <v>11</v>
      </c>
      <c r="F149" s="6">
        <v>46154.442361111112</v>
      </c>
    </row>
    <row r="150" spans="1:6" x14ac:dyDescent="0.3">
      <c r="A150" s="3">
        <v>149</v>
      </c>
      <c r="B150" s="4">
        <f t="shared" si="3"/>
        <v>0.3370786516853933</v>
      </c>
      <c r="C150" s="5">
        <v>160.19999999999999</v>
      </c>
      <c r="D150" s="5">
        <v>54</v>
      </c>
      <c r="E150" s="3" t="s">
        <v>11</v>
      </c>
      <c r="F150" s="6">
        <v>45212.32916666667</v>
      </c>
    </row>
    <row r="151" spans="1:6" x14ac:dyDescent="0.3">
      <c r="A151" s="3">
        <v>150</v>
      </c>
      <c r="B151" s="4">
        <f t="shared" si="3"/>
        <v>0.3401639344262295</v>
      </c>
      <c r="C151" s="5">
        <v>122</v>
      </c>
      <c r="D151" s="5">
        <v>41.5</v>
      </c>
      <c r="E151" s="3" t="s">
        <v>11</v>
      </c>
      <c r="F151" s="6">
        <v>45553.951388888891</v>
      </c>
    </row>
    <row r="152" spans="1:6" x14ac:dyDescent="0.3">
      <c r="A152" s="3">
        <v>151</v>
      </c>
      <c r="B152" s="4">
        <f t="shared" si="3"/>
        <v>0.34108527131782945</v>
      </c>
      <c r="C152" s="5">
        <v>64.5</v>
      </c>
      <c r="D152" s="5">
        <v>22</v>
      </c>
      <c r="E152" s="3" t="s">
        <v>11</v>
      </c>
      <c r="F152" s="6">
        <v>45805.033333333333</v>
      </c>
    </row>
    <row r="153" spans="1:6" x14ac:dyDescent="0.3">
      <c r="A153" s="3">
        <v>152</v>
      </c>
      <c r="B153" s="4">
        <f t="shared" si="3"/>
        <v>0.34168865435356199</v>
      </c>
      <c r="C153" s="5">
        <v>151.6</v>
      </c>
      <c r="D153" s="5">
        <v>51.8</v>
      </c>
      <c r="E153" s="3" t="s">
        <v>7</v>
      </c>
      <c r="F153" s="6">
        <v>44830.301388888889</v>
      </c>
    </row>
    <row r="154" spans="1:6" x14ac:dyDescent="0.3">
      <c r="A154" s="3">
        <v>153</v>
      </c>
      <c r="B154" s="4">
        <f t="shared" si="3"/>
        <v>0.34254807692307693</v>
      </c>
      <c r="C154" s="5">
        <v>83.2</v>
      </c>
      <c r="D154" s="5">
        <v>28.5</v>
      </c>
      <c r="E154" s="3" t="s">
        <v>7</v>
      </c>
      <c r="F154" s="6">
        <v>45834.211805555547</v>
      </c>
    </row>
    <row r="155" spans="1:6" x14ac:dyDescent="0.3">
      <c r="A155" s="3">
        <v>154</v>
      </c>
      <c r="B155" s="4">
        <f t="shared" si="3"/>
        <v>0.34275092936802976</v>
      </c>
      <c r="C155" s="5">
        <v>134.5</v>
      </c>
      <c r="D155" s="5">
        <v>46.1</v>
      </c>
      <c r="E155" s="3" t="s">
        <v>11</v>
      </c>
      <c r="F155" s="6">
        <v>46146.61041666667</v>
      </c>
    </row>
    <row r="156" spans="1:6" x14ac:dyDescent="0.3">
      <c r="A156" s="3">
        <v>155</v>
      </c>
      <c r="B156" s="4">
        <f t="shared" si="3"/>
        <v>0.34534534534534533</v>
      </c>
      <c r="C156" s="5">
        <v>166.5</v>
      </c>
      <c r="D156" s="5">
        <v>57.5</v>
      </c>
      <c r="E156" s="3" t="s">
        <v>11</v>
      </c>
      <c r="F156" s="6">
        <v>44589.223611111112</v>
      </c>
    </row>
    <row r="157" spans="1:6" x14ac:dyDescent="0.3">
      <c r="A157" s="3">
        <v>156</v>
      </c>
      <c r="B157" s="4">
        <f t="shared" si="3"/>
        <v>0.34620174346201743</v>
      </c>
      <c r="C157" s="5">
        <v>160.6</v>
      </c>
      <c r="D157" s="5">
        <v>55.6</v>
      </c>
      <c r="E157" s="3" t="s">
        <v>7</v>
      </c>
      <c r="F157" s="6">
        <v>44796.611805555563</v>
      </c>
    </row>
    <row r="158" spans="1:6" x14ac:dyDescent="0.3">
      <c r="A158" s="3">
        <v>157</v>
      </c>
      <c r="B158" s="4">
        <f t="shared" si="3"/>
        <v>0.34693877551020408</v>
      </c>
      <c r="C158" s="5">
        <v>181.3</v>
      </c>
      <c r="D158" s="5">
        <v>62.9</v>
      </c>
      <c r="E158" s="3" t="s">
        <v>11</v>
      </c>
      <c r="F158" s="6">
        <v>46191.273611111108</v>
      </c>
    </row>
    <row r="159" spans="1:6" x14ac:dyDescent="0.3">
      <c r="A159" s="3">
        <v>158</v>
      </c>
      <c r="B159" s="4">
        <f t="shared" si="3"/>
        <v>0.34735202492211836</v>
      </c>
      <c r="C159" s="5">
        <v>64.2</v>
      </c>
      <c r="D159" s="5">
        <v>22.3</v>
      </c>
      <c r="E159" s="3" t="s">
        <v>7</v>
      </c>
      <c r="F159" s="6">
        <v>45354.917361111111</v>
      </c>
    </row>
    <row r="160" spans="1:6" x14ac:dyDescent="0.3">
      <c r="A160" s="3">
        <v>159</v>
      </c>
      <c r="B160" s="4">
        <f t="shared" si="3"/>
        <v>0.3476968796433878</v>
      </c>
      <c r="C160" s="5">
        <v>67.3</v>
      </c>
      <c r="D160" s="5">
        <v>23.4</v>
      </c>
      <c r="E160" s="3" t="s">
        <v>7</v>
      </c>
      <c r="F160" s="6">
        <v>45146.87777777778</v>
      </c>
    </row>
    <row r="161" spans="1:6" x14ac:dyDescent="0.3">
      <c r="A161" s="3">
        <v>160</v>
      </c>
      <c r="B161" s="4">
        <f t="shared" si="3"/>
        <v>0.34825870646766166</v>
      </c>
      <c r="C161" s="5">
        <v>160.80000000000001</v>
      </c>
      <c r="D161" s="5">
        <v>56</v>
      </c>
      <c r="E161" s="3" t="s">
        <v>7</v>
      </c>
      <c r="F161" s="6">
        <v>45427.57916666667</v>
      </c>
    </row>
    <row r="162" spans="1:6" x14ac:dyDescent="0.3">
      <c r="A162" s="3">
        <v>161</v>
      </c>
      <c r="B162" s="4">
        <f t="shared" si="3"/>
        <v>0.3493613824192337</v>
      </c>
      <c r="C162" s="5">
        <v>133.1</v>
      </c>
      <c r="D162" s="5">
        <v>46.5</v>
      </c>
      <c r="E162" s="3" t="s">
        <v>11</v>
      </c>
      <c r="F162" s="6">
        <v>45278.319444444453</v>
      </c>
    </row>
    <row r="163" spans="1:6" x14ac:dyDescent="0.3">
      <c r="A163" s="3">
        <v>162</v>
      </c>
      <c r="B163" s="4">
        <f t="shared" si="3"/>
        <v>0.35046113306982873</v>
      </c>
      <c r="C163" s="5">
        <v>75.900000000000006</v>
      </c>
      <c r="D163" s="5">
        <v>26.6</v>
      </c>
      <c r="E163" s="3" t="s">
        <v>11</v>
      </c>
      <c r="F163" s="6">
        <v>45195.409722222219</v>
      </c>
    </row>
    <row r="164" spans="1:6" x14ac:dyDescent="0.3">
      <c r="A164" s="3">
        <v>163</v>
      </c>
      <c r="B164" s="4">
        <f t="shared" si="3"/>
        <v>0.35069885641677256</v>
      </c>
      <c r="C164" s="5">
        <v>78.7</v>
      </c>
      <c r="D164" s="5">
        <v>27.6</v>
      </c>
      <c r="E164" s="3" t="s">
        <v>11</v>
      </c>
      <c r="F164" s="6">
        <v>46169.597222222219</v>
      </c>
    </row>
    <row r="165" spans="1:6" x14ac:dyDescent="0.3">
      <c r="A165" s="3">
        <v>164</v>
      </c>
      <c r="B165" s="4">
        <f t="shared" si="3"/>
        <v>0.35082604470359574</v>
      </c>
      <c r="C165" s="5">
        <v>102.9</v>
      </c>
      <c r="D165" s="5">
        <v>36.1</v>
      </c>
      <c r="E165" s="3" t="s">
        <v>11</v>
      </c>
      <c r="F165" s="6">
        <v>45849.750694444447</v>
      </c>
    </row>
    <row r="166" spans="1:6" x14ac:dyDescent="0.3">
      <c r="A166" s="3">
        <v>165</v>
      </c>
      <c r="B166" s="4">
        <f t="shared" si="3"/>
        <v>0.35084033613445376</v>
      </c>
      <c r="C166" s="5">
        <v>142.80000000000001</v>
      </c>
      <c r="D166" s="5">
        <v>50.1</v>
      </c>
      <c r="E166" s="3" t="s">
        <v>11</v>
      </c>
      <c r="F166" s="6">
        <v>44847.522916666669</v>
      </c>
    </row>
    <row r="167" spans="1:6" x14ac:dyDescent="0.3">
      <c r="A167" s="3">
        <v>166</v>
      </c>
      <c r="B167" s="4">
        <f t="shared" si="3"/>
        <v>0.3520179372197309</v>
      </c>
      <c r="C167" s="5">
        <v>89.2</v>
      </c>
      <c r="D167" s="5">
        <v>31.4</v>
      </c>
      <c r="E167" s="3" t="s">
        <v>7</v>
      </c>
      <c r="F167" s="6">
        <v>45928.875694444447</v>
      </c>
    </row>
    <row r="168" spans="1:6" x14ac:dyDescent="0.3">
      <c r="A168" s="3">
        <v>167</v>
      </c>
      <c r="B168" s="4">
        <f t="shared" si="3"/>
        <v>0.35220468154599893</v>
      </c>
      <c r="C168" s="5">
        <v>183.7</v>
      </c>
      <c r="D168" s="5">
        <v>64.7</v>
      </c>
      <c r="E168" s="3" t="s">
        <v>11</v>
      </c>
      <c r="F168" s="6">
        <v>45602.209722222222</v>
      </c>
    </row>
    <row r="169" spans="1:6" x14ac:dyDescent="0.3">
      <c r="A169" s="3">
        <v>168</v>
      </c>
      <c r="B169" s="4">
        <f t="shared" si="3"/>
        <v>0.35238095238095235</v>
      </c>
      <c r="C169" s="5">
        <v>73.5</v>
      </c>
      <c r="D169" s="5">
        <v>25.9</v>
      </c>
      <c r="E169" s="3" t="s">
        <v>7</v>
      </c>
      <c r="F169" s="6">
        <v>45783.411111111112</v>
      </c>
    </row>
    <row r="170" spans="1:6" x14ac:dyDescent="0.3">
      <c r="A170" s="3">
        <v>169</v>
      </c>
      <c r="B170" s="4">
        <f t="shared" si="3"/>
        <v>0.35244519392917367</v>
      </c>
      <c r="C170" s="5">
        <v>59.3</v>
      </c>
      <c r="D170" s="5">
        <v>20.9</v>
      </c>
      <c r="E170" s="3" t="s">
        <v>7</v>
      </c>
      <c r="F170" s="6">
        <v>45231.878472222219</v>
      </c>
    </row>
    <row r="171" spans="1:6" x14ac:dyDescent="0.3">
      <c r="A171" s="3">
        <v>170</v>
      </c>
      <c r="B171" s="4">
        <f t="shared" si="3"/>
        <v>0.35299003322259137</v>
      </c>
      <c r="C171" s="5">
        <v>120.4</v>
      </c>
      <c r="D171" s="5">
        <v>42.5</v>
      </c>
      <c r="E171" s="3" t="s">
        <v>7</v>
      </c>
      <c r="F171" s="6">
        <v>46062.356249999997</v>
      </c>
    </row>
    <row r="172" spans="1:6" x14ac:dyDescent="0.3">
      <c r="A172" s="3">
        <v>171</v>
      </c>
      <c r="B172" s="4">
        <f t="shared" si="3"/>
        <v>0.35402684563758391</v>
      </c>
      <c r="C172" s="5">
        <v>119.2</v>
      </c>
      <c r="D172" s="5">
        <v>42.2</v>
      </c>
      <c r="E172" s="3" t="s">
        <v>7</v>
      </c>
      <c r="F172" s="6">
        <v>45406.356944444437</v>
      </c>
    </row>
    <row r="173" spans="1:6" x14ac:dyDescent="0.3">
      <c r="A173" s="3">
        <v>172</v>
      </c>
      <c r="B173" s="4">
        <f t="shared" si="3"/>
        <v>0.35434574976122252</v>
      </c>
      <c r="C173" s="5">
        <v>104.7</v>
      </c>
      <c r="D173" s="5">
        <v>37.1</v>
      </c>
      <c r="E173" s="3" t="s">
        <v>7</v>
      </c>
      <c r="F173" s="6">
        <v>46002.399305555547</v>
      </c>
    </row>
    <row r="174" spans="1:6" x14ac:dyDescent="0.3">
      <c r="A174" s="3">
        <v>173</v>
      </c>
      <c r="B174" s="4">
        <f t="shared" si="3"/>
        <v>0.35504885993485341</v>
      </c>
      <c r="C174" s="5">
        <v>153.5</v>
      </c>
      <c r="D174" s="5">
        <v>54.5</v>
      </c>
      <c r="E174" s="3" t="s">
        <v>7</v>
      </c>
      <c r="F174" s="6">
        <v>45894.081250000003</v>
      </c>
    </row>
    <row r="175" spans="1:6" x14ac:dyDescent="0.3">
      <c r="A175" s="3">
        <v>174</v>
      </c>
      <c r="B175" s="4">
        <f t="shared" si="3"/>
        <v>0.35507246376811596</v>
      </c>
      <c r="C175" s="5">
        <v>124.2</v>
      </c>
      <c r="D175" s="5">
        <v>44.1</v>
      </c>
      <c r="E175" s="3" t="s">
        <v>11</v>
      </c>
      <c r="F175" s="6">
        <v>46094.57916666667</v>
      </c>
    </row>
    <row r="176" spans="1:6" x14ac:dyDescent="0.3">
      <c r="A176" s="3">
        <v>175</v>
      </c>
      <c r="B176" s="4">
        <f t="shared" si="3"/>
        <v>0.35544041450777197</v>
      </c>
      <c r="C176" s="5">
        <v>96.5</v>
      </c>
      <c r="D176" s="5">
        <v>34.299999999999997</v>
      </c>
      <c r="E176" s="3" t="s">
        <v>7</v>
      </c>
      <c r="F176" s="6">
        <v>45120.525694444441</v>
      </c>
    </row>
    <row r="177" spans="1:6" x14ac:dyDescent="0.3">
      <c r="A177" s="3">
        <v>176</v>
      </c>
      <c r="B177" s="4">
        <f t="shared" si="3"/>
        <v>0.3559738134206219</v>
      </c>
      <c r="C177" s="5">
        <v>122.2</v>
      </c>
      <c r="D177" s="5">
        <v>43.5</v>
      </c>
      <c r="E177" s="3" t="s">
        <v>11</v>
      </c>
      <c r="F177" s="6">
        <v>45958.704861111109</v>
      </c>
    </row>
    <row r="178" spans="1:6" x14ac:dyDescent="0.3">
      <c r="A178" s="3">
        <v>177</v>
      </c>
      <c r="B178" s="4">
        <f t="shared" si="3"/>
        <v>0.35608108108108111</v>
      </c>
      <c r="C178" s="5">
        <v>148</v>
      </c>
      <c r="D178" s="5">
        <v>52.7</v>
      </c>
      <c r="E178" s="3" t="s">
        <v>11</v>
      </c>
      <c r="F178" s="6">
        <v>44865.663194444453</v>
      </c>
    </row>
    <row r="179" spans="1:6" x14ac:dyDescent="0.3">
      <c r="A179" s="3">
        <v>178</v>
      </c>
      <c r="B179" s="4">
        <f t="shared" si="3"/>
        <v>0.35621761658031087</v>
      </c>
      <c r="C179" s="5">
        <v>77.2</v>
      </c>
      <c r="D179" s="5">
        <v>27.5</v>
      </c>
      <c r="E179" s="3" t="s">
        <v>11</v>
      </c>
      <c r="F179" s="6">
        <v>44743.258333333331</v>
      </c>
    </row>
    <row r="180" spans="1:6" x14ac:dyDescent="0.3">
      <c r="A180" s="3">
        <v>179</v>
      </c>
      <c r="B180" s="4">
        <f t="shared" si="3"/>
        <v>0.35629921259842523</v>
      </c>
      <c r="C180" s="5">
        <v>101.6</v>
      </c>
      <c r="D180" s="5">
        <v>36.200000000000003</v>
      </c>
      <c r="E180" s="3" t="s">
        <v>11</v>
      </c>
      <c r="F180" s="6">
        <v>46072.382638888892</v>
      </c>
    </row>
    <row r="181" spans="1:6" x14ac:dyDescent="0.3">
      <c r="A181" s="3">
        <v>180</v>
      </c>
      <c r="B181" s="4">
        <f t="shared" si="3"/>
        <v>0.35733695652173919</v>
      </c>
      <c r="C181" s="5">
        <v>73.599999999999994</v>
      </c>
      <c r="D181" s="5">
        <v>26.3</v>
      </c>
      <c r="E181" s="3" t="s">
        <v>7</v>
      </c>
      <c r="F181" s="6">
        <v>45881.481249999997</v>
      </c>
    </row>
    <row r="182" spans="1:6" x14ac:dyDescent="0.3">
      <c r="A182" s="3">
        <v>181</v>
      </c>
      <c r="B182" s="4">
        <f t="shared" si="3"/>
        <v>0.35806451612903223</v>
      </c>
      <c r="C182" s="5">
        <v>62</v>
      </c>
      <c r="D182" s="5">
        <v>22.2</v>
      </c>
      <c r="E182" s="3" t="s">
        <v>11</v>
      </c>
      <c r="F182" s="6">
        <v>45362.488194444442</v>
      </c>
    </row>
    <row r="183" spans="1:6" x14ac:dyDescent="0.3">
      <c r="A183" s="3">
        <v>182</v>
      </c>
      <c r="B183" s="4">
        <f t="shared" si="3"/>
        <v>0.35828220858895704</v>
      </c>
      <c r="C183" s="5">
        <v>81.5</v>
      </c>
      <c r="D183" s="5">
        <v>29.2</v>
      </c>
      <c r="E183" s="3" t="s">
        <v>11</v>
      </c>
      <c r="F183" s="6">
        <v>45617.834027777782</v>
      </c>
    </row>
    <row r="184" spans="1:6" x14ac:dyDescent="0.3">
      <c r="A184" s="3">
        <v>183</v>
      </c>
      <c r="B184" s="4">
        <f t="shared" si="3"/>
        <v>0.35924528301886793</v>
      </c>
      <c r="C184" s="5">
        <v>132.5</v>
      </c>
      <c r="D184" s="5">
        <v>47.6</v>
      </c>
      <c r="E184" s="3" t="s">
        <v>7</v>
      </c>
      <c r="F184" s="6">
        <v>45968.405555555553</v>
      </c>
    </row>
    <row r="185" spans="1:6" x14ac:dyDescent="0.3">
      <c r="A185" s="3">
        <v>184</v>
      </c>
      <c r="B185" s="4">
        <f t="shared" si="3"/>
        <v>0.35927505330490411</v>
      </c>
      <c r="C185" s="5">
        <v>187.6</v>
      </c>
      <c r="D185" s="5">
        <v>67.400000000000006</v>
      </c>
      <c r="E185" s="3" t="s">
        <v>7</v>
      </c>
      <c r="F185" s="6">
        <v>44971.5625</v>
      </c>
    </row>
    <row r="186" spans="1:6" x14ac:dyDescent="0.3">
      <c r="A186" s="3">
        <v>185</v>
      </c>
      <c r="B186" s="4">
        <f t="shared" si="3"/>
        <v>0.35938903863432164</v>
      </c>
      <c r="C186" s="5">
        <v>111.3</v>
      </c>
      <c r="D186" s="5">
        <v>40</v>
      </c>
      <c r="E186" s="3" t="s">
        <v>11</v>
      </c>
      <c r="F186" s="6">
        <v>44853.42291666667</v>
      </c>
    </row>
    <row r="187" spans="1:6" x14ac:dyDescent="0.3">
      <c r="A187" s="3">
        <v>186</v>
      </c>
      <c r="B187" s="4">
        <f t="shared" si="3"/>
        <v>0.35984207557811615</v>
      </c>
      <c r="C187" s="5">
        <v>177.3</v>
      </c>
      <c r="D187" s="5">
        <v>63.8</v>
      </c>
      <c r="E187" s="3" t="s">
        <v>11</v>
      </c>
      <c r="F187" s="6">
        <v>46181.481249999997</v>
      </c>
    </row>
    <row r="188" spans="1:6" x14ac:dyDescent="0.3">
      <c r="A188" s="3">
        <v>187</v>
      </c>
      <c r="B188" s="4">
        <f t="shared" si="3"/>
        <v>0.36155913978494619</v>
      </c>
      <c r="C188" s="5">
        <v>148.80000000000001</v>
      </c>
      <c r="D188" s="5">
        <v>53.8</v>
      </c>
      <c r="E188" s="3" t="s">
        <v>7</v>
      </c>
      <c r="F188" s="6">
        <v>44705.102777777778</v>
      </c>
    </row>
    <row r="189" spans="1:6" x14ac:dyDescent="0.3">
      <c r="A189" s="3">
        <v>188</v>
      </c>
      <c r="B189" s="4">
        <f t="shared" si="3"/>
        <v>0.36281179138321995</v>
      </c>
      <c r="C189" s="5">
        <v>88.2</v>
      </c>
      <c r="D189" s="5">
        <v>32</v>
      </c>
      <c r="E189" s="3" t="s">
        <v>7</v>
      </c>
      <c r="F189" s="6">
        <v>45205.269444444442</v>
      </c>
    </row>
    <row r="190" spans="1:6" x14ac:dyDescent="0.3">
      <c r="A190" s="3">
        <v>189</v>
      </c>
      <c r="B190" s="4">
        <f t="shared" si="3"/>
        <v>0.36291486291486291</v>
      </c>
      <c r="C190" s="5">
        <v>138.6</v>
      </c>
      <c r="D190" s="5">
        <v>50.3</v>
      </c>
      <c r="E190" s="3" t="s">
        <v>7</v>
      </c>
      <c r="F190" s="6">
        <v>44831.084722222222</v>
      </c>
    </row>
    <row r="191" spans="1:6" x14ac:dyDescent="0.3">
      <c r="A191" s="3">
        <v>190</v>
      </c>
      <c r="B191" s="4">
        <f t="shared" si="3"/>
        <v>0.36293436293436288</v>
      </c>
      <c r="C191" s="5">
        <v>181.3</v>
      </c>
      <c r="D191" s="5">
        <v>65.8</v>
      </c>
      <c r="E191" s="3" t="s">
        <v>7</v>
      </c>
      <c r="F191" s="6">
        <v>45560.443749999999</v>
      </c>
    </row>
    <row r="192" spans="1:6" x14ac:dyDescent="0.3">
      <c r="A192" s="3">
        <v>191</v>
      </c>
      <c r="B192" s="4">
        <f t="shared" si="3"/>
        <v>0.36303775241439856</v>
      </c>
      <c r="C192" s="5">
        <v>227.8</v>
      </c>
      <c r="D192" s="5">
        <v>82.7</v>
      </c>
      <c r="E192" s="3" t="s">
        <v>11</v>
      </c>
      <c r="F192" s="6">
        <v>44505.710416666669</v>
      </c>
    </row>
    <row r="193" spans="1:6" x14ac:dyDescent="0.3">
      <c r="A193" s="3">
        <v>192</v>
      </c>
      <c r="B193" s="4">
        <f t="shared" si="3"/>
        <v>0.36333333333333334</v>
      </c>
      <c r="C193" s="5">
        <v>120</v>
      </c>
      <c r="D193" s="5">
        <v>43.6</v>
      </c>
      <c r="E193" s="3" t="s">
        <v>7</v>
      </c>
      <c r="F193" s="6">
        <v>45257.689583333333</v>
      </c>
    </row>
    <row r="194" spans="1:6" x14ac:dyDescent="0.3">
      <c r="A194" s="3">
        <v>193</v>
      </c>
      <c r="B194" s="4">
        <f t="shared" ref="B194:B257" si="4">D194/C194</f>
        <v>0.36351165980795608</v>
      </c>
      <c r="C194" s="5">
        <v>72.900000000000006</v>
      </c>
      <c r="D194" s="5">
        <v>26.5</v>
      </c>
      <c r="E194" s="3" t="s">
        <v>7</v>
      </c>
      <c r="F194" s="6">
        <v>45519.876388888893</v>
      </c>
    </row>
    <row r="195" spans="1:6" x14ac:dyDescent="0.3">
      <c r="A195" s="3">
        <v>194</v>
      </c>
      <c r="B195" s="4">
        <f t="shared" si="4"/>
        <v>0.36363636363636365</v>
      </c>
      <c r="C195" s="5">
        <v>170.5</v>
      </c>
      <c r="D195" s="5">
        <v>62</v>
      </c>
      <c r="E195" s="3" t="s">
        <v>7</v>
      </c>
      <c r="F195" s="6">
        <v>45362.368055555547</v>
      </c>
    </row>
    <row r="196" spans="1:6" x14ac:dyDescent="0.3">
      <c r="A196" s="3">
        <v>195</v>
      </c>
      <c r="B196" s="4">
        <f t="shared" si="4"/>
        <v>0.36394366197183098</v>
      </c>
      <c r="C196" s="5">
        <v>177.5</v>
      </c>
      <c r="D196" s="5">
        <v>64.599999999999994</v>
      </c>
      <c r="E196" s="3" t="s">
        <v>7</v>
      </c>
      <c r="F196" s="6">
        <v>46219.493055555547</v>
      </c>
    </row>
    <row r="197" spans="1:6" x14ac:dyDescent="0.3">
      <c r="A197" s="3">
        <v>196</v>
      </c>
      <c r="B197" s="4">
        <f t="shared" si="4"/>
        <v>0.36406460296096904</v>
      </c>
      <c r="C197" s="5">
        <v>148.6</v>
      </c>
      <c r="D197" s="5">
        <v>54.1</v>
      </c>
      <c r="E197" s="3" t="s">
        <v>11</v>
      </c>
      <c r="F197" s="6">
        <v>44679.523611111108</v>
      </c>
    </row>
    <row r="198" spans="1:6" x14ac:dyDescent="0.3">
      <c r="A198" s="3">
        <v>197</v>
      </c>
      <c r="B198" s="4">
        <f t="shared" si="4"/>
        <v>0.36463536463536467</v>
      </c>
      <c r="C198" s="5">
        <v>100.1</v>
      </c>
      <c r="D198" s="5">
        <v>36.5</v>
      </c>
      <c r="E198" s="3" t="s">
        <v>7</v>
      </c>
      <c r="F198" s="6">
        <v>44851.186805555553</v>
      </c>
    </row>
    <row r="199" spans="1:6" x14ac:dyDescent="0.3">
      <c r="A199" s="3">
        <v>198</v>
      </c>
      <c r="B199" s="4">
        <f t="shared" si="4"/>
        <v>0.36615044247787609</v>
      </c>
      <c r="C199" s="5">
        <v>90.4</v>
      </c>
      <c r="D199" s="5">
        <v>33.1</v>
      </c>
      <c r="E199" s="3" t="s">
        <v>11</v>
      </c>
      <c r="F199" s="6">
        <v>45544.049305555563</v>
      </c>
    </row>
    <row r="200" spans="1:6" x14ac:dyDescent="0.3">
      <c r="A200" s="3">
        <v>199</v>
      </c>
      <c r="B200" s="4">
        <f t="shared" si="4"/>
        <v>0.36618004866180048</v>
      </c>
      <c r="C200" s="5">
        <v>82.2</v>
      </c>
      <c r="D200" s="5">
        <v>30.1</v>
      </c>
      <c r="E200" s="3" t="s">
        <v>7</v>
      </c>
      <c r="F200" s="6">
        <v>45680.887499999997</v>
      </c>
    </row>
    <row r="201" spans="1:6" x14ac:dyDescent="0.3">
      <c r="A201" s="3">
        <v>200</v>
      </c>
      <c r="B201" s="4">
        <f t="shared" si="4"/>
        <v>0.36643571978444955</v>
      </c>
      <c r="C201" s="5">
        <v>129.9</v>
      </c>
      <c r="D201" s="5">
        <v>47.6</v>
      </c>
      <c r="E201" s="3" t="s">
        <v>7</v>
      </c>
      <c r="F201" s="6">
        <v>45679.309027777781</v>
      </c>
    </row>
    <row r="202" spans="1:6" x14ac:dyDescent="0.3">
      <c r="A202" s="3">
        <v>201</v>
      </c>
      <c r="B202" s="4">
        <f t="shared" si="4"/>
        <v>0.36756756756756753</v>
      </c>
      <c r="C202" s="5">
        <v>111</v>
      </c>
      <c r="D202" s="5">
        <v>40.799999999999997</v>
      </c>
      <c r="E202" s="3" t="s">
        <v>7</v>
      </c>
      <c r="F202" s="6">
        <v>46253.75</v>
      </c>
    </row>
    <row r="203" spans="1:6" x14ac:dyDescent="0.3">
      <c r="A203" s="3">
        <v>202</v>
      </c>
      <c r="B203" s="4">
        <f t="shared" si="4"/>
        <v>0.36766809728183114</v>
      </c>
      <c r="C203" s="5">
        <v>69.900000000000006</v>
      </c>
      <c r="D203" s="5">
        <v>25.7</v>
      </c>
      <c r="E203" s="3" t="s">
        <v>11</v>
      </c>
      <c r="F203" s="6">
        <v>44910.279861111107</v>
      </c>
    </row>
    <row r="204" spans="1:6" x14ac:dyDescent="0.3">
      <c r="A204" s="3">
        <v>203</v>
      </c>
      <c r="B204" s="4">
        <f t="shared" si="4"/>
        <v>0.36801375752364573</v>
      </c>
      <c r="C204" s="5">
        <v>116.3</v>
      </c>
      <c r="D204" s="5">
        <v>42.8</v>
      </c>
      <c r="E204" s="3" t="s">
        <v>11</v>
      </c>
      <c r="F204" s="6">
        <v>45868.775000000001</v>
      </c>
    </row>
    <row r="205" spans="1:6" x14ac:dyDescent="0.3">
      <c r="A205" s="3">
        <v>204</v>
      </c>
      <c r="B205" s="4">
        <f t="shared" si="4"/>
        <v>0.36818181818181817</v>
      </c>
      <c r="C205" s="5">
        <v>110</v>
      </c>
      <c r="D205" s="5">
        <v>40.5</v>
      </c>
      <c r="E205" s="3" t="s">
        <v>11</v>
      </c>
      <c r="F205" s="6">
        <v>45925.287499999999</v>
      </c>
    </row>
    <row r="206" spans="1:6" x14ac:dyDescent="0.3">
      <c r="A206" s="3">
        <v>205</v>
      </c>
      <c r="B206" s="4">
        <f t="shared" si="4"/>
        <v>0.36842105263157898</v>
      </c>
      <c r="C206" s="5">
        <v>64.599999999999994</v>
      </c>
      <c r="D206" s="5">
        <v>23.8</v>
      </c>
      <c r="E206" s="3" t="s">
        <v>11</v>
      </c>
      <c r="F206" s="6">
        <v>46219.57916666667</v>
      </c>
    </row>
    <row r="207" spans="1:6" x14ac:dyDescent="0.3">
      <c r="A207" s="3">
        <v>206</v>
      </c>
      <c r="B207" s="4">
        <f t="shared" si="4"/>
        <v>0.36865839909808346</v>
      </c>
      <c r="C207" s="5">
        <v>88.7</v>
      </c>
      <c r="D207" s="5">
        <v>32.700000000000003</v>
      </c>
      <c r="E207" s="3" t="s">
        <v>11</v>
      </c>
      <c r="F207" s="6">
        <v>44446.581944444442</v>
      </c>
    </row>
    <row r="208" spans="1:6" x14ac:dyDescent="0.3">
      <c r="A208" s="3">
        <v>207</v>
      </c>
      <c r="B208" s="4">
        <f t="shared" si="4"/>
        <v>0.36874999999999997</v>
      </c>
      <c r="C208" s="5">
        <v>96</v>
      </c>
      <c r="D208" s="5">
        <v>35.4</v>
      </c>
      <c r="E208" s="3" t="s">
        <v>7</v>
      </c>
      <c r="F208" s="6">
        <v>45915.587500000001</v>
      </c>
    </row>
    <row r="209" spans="1:6" x14ac:dyDescent="0.3">
      <c r="A209" s="3">
        <v>208</v>
      </c>
      <c r="B209" s="4">
        <f t="shared" si="4"/>
        <v>0.36885245901639346</v>
      </c>
      <c r="C209" s="5">
        <v>122</v>
      </c>
      <c r="D209" s="5">
        <v>45</v>
      </c>
      <c r="E209" s="3" t="s">
        <v>7</v>
      </c>
      <c r="F209" s="6">
        <v>44904.375694444447</v>
      </c>
    </row>
    <row r="210" spans="1:6" x14ac:dyDescent="0.3">
      <c r="A210" s="3">
        <v>209</v>
      </c>
      <c r="B210" s="4">
        <f t="shared" si="4"/>
        <v>0.36908962597035994</v>
      </c>
      <c r="C210" s="5">
        <v>141.69999999999999</v>
      </c>
      <c r="D210" s="5">
        <v>52.3</v>
      </c>
      <c r="E210" s="3" t="s">
        <v>7</v>
      </c>
      <c r="F210" s="6">
        <v>44774.78125</v>
      </c>
    </row>
    <row r="211" spans="1:6" x14ac:dyDescent="0.3">
      <c r="A211" s="3">
        <v>210</v>
      </c>
      <c r="B211" s="4">
        <f t="shared" si="4"/>
        <v>0.36934306569343067</v>
      </c>
      <c r="C211" s="5">
        <v>68.5</v>
      </c>
      <c r="D211" s="5">
        <v>25.3</v>
      </c>
      <c r="E211" s="3" t="s">
        <v>7</v>
      </c>
      <c r="F211" s="6">
        <v>45243.617361111108</v>
      </c>
    </row>
    <row r="212" spans="1:6" x14ac:dyDescent="0.3">
      <c r="A212" s="3">
        <v>211</v>
      </c>
      <c r="B212" s="4">
        <f t="shared" si="4"/>
        <v>0.3702664796633941</v>
      </c>
      <c r="C212" s="5">
        <v>142.6</v>
      </c>
      <c r="D212" s="5">
        <v>52.8</v>
      </c>
      <c r="E212" s="3" t="s">
        <v>7</v>
      </c>
      <c r="F212" s="6">
        <v>45800.583333333343</v>
      </c>
    </row>
    <row r="213" spans="1:6" x14ac:dyDescent="0.3">
      <c r="A213" s="3">
        <v>212</v>
      </c>
      <c r="B213" s="4">
        <f t="shared" si="4"/>
        <v>0.37037037037037035</v>
      </c>
      <c r="C213" s="5">
        <v>81</v>
      </c>
      <c r="D213" s="5">
        <v>30</v>
      </c>
      <c r="E213" s="3" t="s">
        <v>7</v>
      </c>
      <c r="F213" s="6">
        <v>45833.876388888893</v>
      </c>
    </row>
    <row r="214" spans="1:6" x14ac:dyDescent="0.3">
      <c r="A214" s="3">
        <v>213</v>
      </c>
      <c r="B214" s="4">
        <f t="shared" si="4"/>
        <v>0.37268128161888708</v>
      </c>
      <c r="C214" s="5">
        <v>118.6</v>
      </c>
      <c r="D214" s="5">
        <v>44.2</v>
      </c>
      <c r="E214" s="3" t="s">
        <v>11</v>
      </c>
      <c r="F214" s="6">
        <v>45058.456944444442</v>
      </c>
    </row>
    <row r="215" spans="1:6" x14ac:dyDescent="0.3">
      <c r="A215" s="3">
        <v>214</v>
      </c>
      <c r="B215" s="4">
        <f t="shared" si="4"/>
        <v>0.37397420867526376</v>
      </c>
      <c r="C215" s="5">
        <v>85.3</v>
      </c>
      <c r="D215" s="5">
        <v>31.9</v>
      </c>
      <c r="E215" s="3" t="s">
        <v>11</v>
      </c>
      <c r="F215" s="6">
        <v>46261.55972222222</v>
      </c>
    </row>
    <row r="216" spans="1:6" x14ac:dyDescent="0.3">
      <c r="A216" s="3">
        <v>215</v>
      </c>
      <c r="B216" s="4">
        <f t="shared" si="4"/>
        <v>0.3742971887550201</v>
      </c>
      <c r="C216" s="5">
        <v>124.5</v>
      </c>
      <c r="D216" s="5">
        <v>46.6</v>
      </c>
      <c r="E216" s="3" t="s">
        <v>11</v>
      </c>
      <c r="F216" s="6">
        <v>45867.443055555559</v>
      </c>
    </row>
    <row r="217" spans="1:6" x14ac:dyDescent="0.3">
      <c r="A217" s="3">
        <v>216</v>
      </c>
      <c r="B217" s="4">
        <f t="shared" si="4"/>
        <v>0.37514384349827384</v>
      </c>
      <c r="C217" s="5">
        <v>86.9</v>
      </c>
      <c r="D217" s="5">
        <v>32.6</v>
      </c>
      <c r="E217" s="3" t="s">
        <v>7</v>
      </c>
      <c r="F217" s="6">
        <v>45875.875694444447</v>
      </c>
    </row>
    <row r="218" spans="1:6" x14ac:dyDescent="0.3">
      <c r="A218" s="3">
        <v>217</v>
      </c>
      <c r="B218" s="4">
        <f t="shared" si="4"/>
        <v>0.37633262260127931</v>
      </c>
      <c r="C218" s="5">
        <v>93.8</v>
      </c>
      <c r="D218" s="5">
        <v>35.299999999999997</v>
      </c>
      <c r="E218" s="3" t="s">
        <v>7</v>
      </c>
      <c r="F218" s="6">
        <v>45523.548611111109</v>
      </c>
    </row>
    <row r="219" spans="1:6" x14ac:dyDescent="0.3">
      <c r="A219" s="3">
        <v>218</v>
      </c>
      <c r="B219" s="4">
        <f t="shared" si="4"/>
        <v>0.37649880095923255</v>
      </c>
      <c r="C219" s="5">
        <v>166.8</v>
      </c>
      <c r="D219" s="5">
        <v>62.8</v>
      </c>
      <c r="E219" s="3" t="s">
        <v>11</v>
      </c>
      <c r="F219" s="6">
        <v>44820.461805555547</v>
      </c>
    </row>
    <row r="220" spans="1:6" x14ac:dyDescent="0.3">
      <c r="A220" s="3">
        <v>219</v>
      </c>
      <c r="B220" s="4">
        <f t="shared" si="4"/>
        <v>0.3767798466593647</v>
      </c>
      <c r="C220" s="5">
        <v>91.3</v>
      </c>
      <c r="D220" s="5">
        <v>34.4</v>
      </c>
      <c r="E220" s="3" t="s">
        <v>7</v>
      </c>
      <c r="F220" s="6">
        <v>45630.791666666657</v>
      </c>
    </row>
    <row r="221" spans="1:6" x14ac:dyDescent="0.3">
      <c r="A221" s="3">
        <v>220</v>
      </c>
      <c r="B221" s="4">
        <f t="shared" si="4"/>
        <v>0.37737407101568954</v>
      </c>
      <c r="C221" s="5">
        <v>121.1</v>
      </c>
      <c r="D221" s="5">
        <v>45.7</v>
      </c>
      <c r="E221" s="3" t="s">
        <v>7</v>
      </c>
      <c r="F221" s="6">
        <v>45253.918055555558</v>
      </c>
    </row>
    <row r="222" spans="1:6" x14ac:dyDescent="0.3">
      <c r="A222" s="3">
        <v>221</v>
      </c>
      <c r="B222" s="4">
        <f t="shared" si="4"/>
        <v>0.37857142857142861</v>
      </c>
      <c r="C222" s="5">
        <v>252</v>
      </c>
      <c r="D222" s="5">
        <v>95.4</v>
      </c>
      <c r="E222" s="3" t="s">
        <v>11</v>
      </c>
      <c r="F222" s="6">
        <v>44802.594444444447</v>
      </c>
    </row>
    <row r="223" spans="1:6" x14ac:dyDescent="0.3">
      <c r="A223" s="3">
        <v>222</v>
      </c>
      <c r="B223" s="4">
        <f t="shared" si="4"/>
        <v>0.37882096069869003</v>
      </c>
      <c r="C223" s="5">
        <v>91.6</v>
      </c>
      <c r="D223" s="5">
        <v>34.700000000000003</v>
      </c>
      <c r="E223" s="3" t="s">
        <v>11</v>
      </c>
      <c r="F223" s="6">
        <v>45617.568055555559</v>
      </c>
    </row>
    <row r="224" spans="1:6" x14ac:dyDescent="0.3">
      <c r="A224" s="3">
        <v>223</v>
      </c>
      <c r="B224" s="4">
        <f t="shared" si="4"/>
        <v>0.37924757281553395</v>
      </c>
      <c r="C224" s="5">
        <v>164.8</v>
      </c>
      <c r="D224" s="5">
        <v>62.5</v>
      </c>
      <c r="E224" s="3" t="s">
        <v>11</v>
      </c>
      <c r="F224" s="6">
        <v>44932.163888888892</v>
      </c>
    </row>
    <row r="225" spans="1:6" x14ac:dyDescent="0.3">
      <c r="A225" s="3">
        <v>224</v>
      </c>
      <c r="B225" s="4">
        <f t="shared" si="4"/>
        <v>0.38115183246073298</v>
      </c>
      <c r="C225" s="5">
        <v>95.5</v>
      </c>
      <c r="D225" s="5">
        <v>36.4</v>
      </c>
      <c r="E225" s="3" t="s">
        <v>11</v>
      </c>
      <c r="F225" s="6">
        <v>44578.334722222222</v>
      </c>
    </row>
    <row r="226" spans="1:6" x14ac:dyDescent="0.3">
      <c r="A226" s="3">
        <v>225</v>
      </c>
      <c r="B226" s="4">
        <f t="shared" si="4"/>
        <v>0.38127090301003347</v>
      </c>
      <c r="C226" s="5">
        <v>149.5</v>
      </c>
      <c r="D226" s="5">
        <v>57</v>
      </c>
      <c r="E226" s="3" t="s">
        <v>7</v>
      </c>
      <c r="F226" s="6">
        <v>45671.112500000003</v>
      </c>
    </row>
    <row r="227" spans="1:6" x14ac:dyDescent="0.3">
      <c r="A227" s="3">
        <v>226</v>
      </c>
      <c r="B227" s="4">
        <f t="shared" si="4"/>
        <v>0.38183694530443757</v>
      </c>
      <c r="C227" s="5">
        <v>96.9</v>
      </c>
      <c r="D227" s="5">
        <v>37</v>
      </c>
      <c r="E227" s="3" t="s">
        <v>11</v>
      </c>
      <c r="F227" s="6">
        <v>45420.65902777778</v>
      </c>
    </row>
    <row r="228" spans="1:6" x14ac:dyDescent="0.3">
      <c r="A228" s="3">
        <v>227</v>
      </c>
      <c r="B228" s="4">
        <f t="shared" si="4"/>
        <v>0.38193624557260919</v>
      </c>
      <c r="C228" s="5">
        <v>169.4</v>
      </c>
      <c r="D228" s="5">
        <v>64.7</v>
      </c>
      <c r="E228" s="3" t="s">
        <v>11</v>
      </c>
      <c r="F228" s="6">
        <v>46084.51458333333</v>
      </c>
    </row>
    <row r="229" spans="1:6" x14ac:dyDescent="0.3">
      <c r="A229" s="3">
        <v>228</v>
      </c>
      <c r="B229" s="4">
        <f t="shared" si="4"/>
        <v>0.38219895287958117</v>
      </c>
      <c r="C229" s="5">
        <v>95.5</v>
      </c>
      <c r="D229" s="5">
        <v>36.5</v>
      </c>
      <c r="E229" s="3" t="s">
        <v>7</v>
      </c>
      <c r="F229" s="6">
        <v>45695.252083333333</v>
      </c>
    </row>
    <row r="230" spans="1:6" x14ac:dyDescent="0.3">
      <c r="A230" s="3">
        <v>229</v>
      </c>
      <c r="B230" s="4">
        <f t="shared" si="4"/>
        <v>0.38373983739837403</v>
      </c>
      <c r="C230" s="5">
        <v>123</v>
      </c>
      <c r="D230" s="5">
        <v>47.2</v>
      </c>
      <c r="E230" s="3" t="s">
        <v>11</v>
      </c>
      <c r="F230" s="6">
        <v>44705.45</v>
      </c>
    </row>
    <row r="231" spans="1:6" x14ac:dyDescent="0.3">
      <c r="A231" s="3">
        <v>230</v>
      </c>
      <c r="B231" s="4">
        <f t="shared" si="4"/>
        <v>0.38461538461538458</v>
      </c>
      <c r="C231" s="5">
        <v>153.4</v>
      </c>
      <c r="D231" s="5">
        <v>59</v>
      </c>
      <c r="E231" s="3" t="s">
        <v>7</v>
      </c>
      <c r="F231" s="6">
        <v>45796.760416666657</v>
      </c>
    </row>
    <row r="232" spans="1:6" x14ac:dyDescent="0.3">
      <c r="A232" s="3">
        <v>231</v>
      </c>
      <c r="B232" s="4">
        <f t="shared" si="4"/>
        <v>0.38471587197909862</v>
      </c>
      <c r="C232" s="5">
        <v>153.1</v>
      </c>
      <c r="D232" s="5">
        <v>58.9</v>
      </c>
      <c r="E232" s="3" t="s">
        <v>7</v>
      </c>
      <c r="F232" s="6">
        <v>44999.34652777778</v>
      </c>
    </row>
    <row r="233" spans="1:6" x14ac:dyDescent="0.3">
      <c r="A233" s="3">
        <v>232</v>
      </c>
      <c r="B233" s="4">
        <f t="shared" si="4"/>
        <v>0.38476658476658476</v>
      </c>
      <c r="C233" s="5">
        <v>203.5</v>
      </c>
      <c r="D233" s="5">
        <v>78.3</v>
      </c>
      <c r="E233" s="3" t="s">
        <v>7</v>
      </c>
      <c r="F233" s="6">
        <v>46050.215277777781</v>
      </c>
    </row>
    <row r="234" spans="1:6" x14ac:dyDescent="0.3">
      <c r="A234" s="3">
        <v>233</v>
      </c>
      <c r="B234" s="4">
        <f t="shared" si="4"/>
        <v>0.38561244329228772</v>
      </c>
      <c r="C234" s="5">
        <v>154.30000000000001</v>
      </c>
      <c r="D234" s="5">
        <v>59.5</v>
      </c>
      <c r="E234" s="3" t="s">
        <v>7</v>
      </c>
      <c r="F234" s="6">
        <v>44832.619444444441</v>
      </c>
    </row>
    <row r="235" spans="1:6" x14ac:dyDescent="0.3">
      <c r="A235" s="3">
        <v>234</v>
      </c>
      <c r="B235" s="4">
        <f t="shared" si="4"/>
        <v>0.38688524590163931</v>
      </c>
      <c r="C235" s="5">
        <v>213.5</v>
      </c>
      <c r="D235" s="5">
        <v>82.6</v>
      </c>
      <c r="E235" s="3" t="s">
        <v>11</v>
      </c>
      <c r="F235" s="6">
        <v>45569.504861111112</v>
      </c>
    </row>
    <row r="236" spans="1:6" x14ac:dyDescent="0.3">
      <c r="A236" s="3">
        <v>235</v>
      </c>
      <c r="B236" s="4">
        <f t="shared" si="4"/>
        <v>0.38716981132075468</v>
      </c>
      <c r="C236" s="5">
        <v>132.5</v>
      </c>
      <c r="D236" s="5">
        <v>51.3</v>
      </c>
      <c r="E236" s="3" t="s">
        <v>11</v>
      </c>
      <c r="F236" s="6">
        <v>44628.443749999999</v>
      </c>
    </row>
    <row r="237" spans="1:6" x14ac:dyDescent="0.3">
      <c r="A237" s="3">
        <v>236</v>
      </c>
      <c r="B237" s="4">
        <f t="shared" si="4"/>
        <v>0.38738738738738737</v>
      </c>
      <c r="C237" s="5">
        <v>155.4</v>
      </c>
      <c r="D237" s="5">
        <v>60.2</v>
      </c>
      <c r="E237" s="3" t="s">
        <v>11</v>
      </c>
      <c r="F237" s="6">
        <v>44729.857638888891</v>
      </c>
    </row>
    <row r="238" spans="1:6" x14ac:dyDescent="0.3">
      <c r="A238" s="3">
        <v>237</v>
      </c>
      <c r="B238" s="4">
        <f t="shared" si="4"/>
        <v>0.38785714285714284</v>
      </c>
      <c r="C238" s="5">
        <v>140</v>
      </c>
      <c r="D238" s="5">
        <v>54.3</v>
      </c>
      <c r="E238" s="3" t="s">
        <v>7</v>
      </c>
      <c r="F238" s="6">
        <v>44680.604861111111</v>
      </c>
    </row>
    <row r="239" spans="1:6" x14ac:dyDescent="0.3">
      <c r="A239" s="3">
        <v>238</v>
      </c>
      <c r="B239" s="4">
        <f t="shared" si="4"/>
        <v>0.38786279683377306</v>
      </c>
      <c r="C239" s="5">
        <v>75.8</v>
      </c>
      <c r="D239" s="5">
        <v>29.4</v>
      </c>
      <c r="E239" s="3" t="s">
        <v>7</v>
      </c>
      <c r="F239" s="6">
        <v>45908.749305555553</v>
      </c>
    </row>
    <row r="240" spans="1:6" x14ac:dyDescent="0.3">
      <c r="A240" s="3">
        <v>239</v>
      </c>
      <c r="B240" s="4">
        <f t="shared" si="4"/>
        <v>0.38787878787878788</v>
      </c>
      <c r="C240" s="5">
        <v>148.5</v>
      </c>
      <c r="D240" s="5">
        <v>57.6</v>
      </c>
      <c r="E240" s="3" t="s">
        <v>11</v>
      </c>
      <c r="F240" s="6">
        <v>44874.488194444442</v>
      </c>
    </row>
    <row r="241" spans="1:6" x14ac:dyDescent="0.3">
      <c r="A241" s="3">
        <v>240</v>
      </c>
      <c r="B241" s="4">
        <f t="shared" si="4"/>
        <v>0.38962962962962966</v>
      </c>
      <c r="C241" s="5">
        <v>67.5</v>
      </c>
      <c r="D241" s="5">
        <v>26.3</v>
      </c>
      <c r="E241" s="3" t="s">
        <v>7</v>
      </c>
      <c r="F241" s="6">
        <v>44593.038194444453</v>
      </c>
    </row>
    <row r="242" spans="1:6" x14ac:dyDescent="0.3">
      <c r="A242" s="3">
        <v>241</v>
      </c>
      <c r="B242" s="4">
        <f t="shared" si="4"/>
        <v>0.38968915845337376</v>
      </c>
      <c r="C242" s="5">
        <v>131.9</v>
      </c>
      <c r="D242" s="5">
        <v>51.4</v>
      </c>
      <c r="E242" s="3" t="s">
        <v>11</v>
      </c>
      <c r="F242" s="6">
        <v>45280.625</v>
      </c>
    </row>
    <row r="243" spans="1:6" x14ac:dyDescent="0.3">
      <c r="A243" s="3">
        <v>242</v>
      </c>
      <c r="B243" s="4">
        <f t="shared" si="4"/>
        <v>0.38989169675090252</v>
      </c>
      <c r="C243" s="5">
        <v>83.1</v>
      </c>
      <c r="D243" s="5">
        <v>32.4</v>
      </c>
      <c r="E243" s="3" t="s">
        <v>11</v>
      </c>
      <c r="F243" s="6">
        <v>44735.234027777777</v>
      </c>
    </row>
    <row r="244" spans="1:6" x14ac:dyDescent="0.3">
      <c r="A244" s="3">
        <v>243</v>
      </c>
      <c r="B244" s="4">
        <f t="shared" si="4"/>
        <v>0.39072520966946228</v>
      </c>
      <c r="C244" s="5">
        <v>202.7</v>
      </c>
      <c r="D244" s="5">
        <v>79.2</v>
      </c>
      <c r="E244" s="3" t="s">
        <v>7</v>
      </c>
      <c r="F244" s="6">
        <v>44847.717361111107</v>
      </c>
    </row>
    <row r="245" spans="1:6" x14ac:dyDescent="0.3">
      <c r="A245" s="3">
        <v>244</v>
      </c>
      <c r="B245" s="4">
        <f t="shared" si="4"/>
        <v>0.39254108723135278</v>
      </c>
      <c r="C245" s="5">
        <v>158.19999999999999</v>
      </c>
      <c r="D245" s="5">
        <v>62.1</v>
      </c>
      <c r="E245" s="3" t="s">
        <v>11</v>
      </c>
      <c r="F245" s="6">
        <v>44901.059027777781</v>
      </c>
    </row>
    <row r="246" spans="1:6" x14ac:dyDescent="0.3">
      <c r="A246" s="3">
        <v>245</v>
      </c>
      <c r="B246" s="4">
        <f t="shared" si="4"/>
        <v>0.39303482587064675</v>
      </c>
      <c r="C246" s="5">
        <v>60.3</v>
      </c>
      <c r="D246" s="5">
        <v>23.7</v>
      </c>
      <c r="E246" s="3" t="s">
        <v>11</v>
      </c>
      <c r="F246" s="6">
        <v>46220.292361111111</v>
      </c>
    </row>
    <row r="247" spans="1:6" x14ac:dyDescent="0.3">
      <c r="A247" s="3">
        <v>246</v>
      </c>
      <c r="B247" s="4">
        <f t="shared" si="4"/>
        <v>0.39316239316239321</v>
      </c>
      <c r="C247" s="5">
        <v>128.69999999999999</v>
      </c>
      <c r="D247" s="5">
        <v>50.6</v>
      </c>
      <c r="E247" s="3" t="s">
        <v>7</v>
      </c>
      <c r="F247" s="6">
        <v>45677.570833333331</v>
      </c>
    </row>
    <row r="248" spans="1:6" x14ac:dyDescent="0.3">
      <c r="A248" s="3">
        <v>247</v>
      </c>
      <c r="B248" s="4">
        <f t="shared" si="4"/>
        <v>0.3936381709741551</v>
      </c>
      <c r="C248" s="5">
        <v>100.6</v>
      </c>
      <c r="D248" s="5">
        <v>39.6</v>
      </c>
      <c r="E248" s="3" t="s">
        <v>11</v>
      </c>
      <c r="F248" s="6">
        <v>44623.803472222222</v>
      </c>
    </row>
    <row r="249" spans="1:6" x14ac:dyDescent="0.3">
      <c r="A249" s="3">
        <v>248</v>
      </c>
      <c r="B249" s="4">
        <f t="shared" si="4"/>
        <v>0.39372138652714195</v>
      </c>
      <c r="C249" s="5">
        <v>152.9</v>
      </c>
      <c r="D249" s="5">
        <v>60.2</v>
      </c>
      <c r="E249" s="3" t="s">
        <v>11</v>
      </c>
      <c r="F249" s="6">
        <v>45106.508333333331</v>
      </c>
    </row>
    <row r="250" spans="1:6" x14ac:dyDescent="0.3">
      <c r="A250" s="3">
        <v>249</v>
      </c>
      <c r="B250" s="4">
        <f t="shared" si="4"/>
        <v>0.3961474036850921</v>
      </c>
      <c r="C250" s="5">
        <v>119.4</v>
      </c>
      <c r="D250" s="5">
        <v>47.3</v>
      </c>
      <c r="E250" s="3" t="s">
        <v>11</v>
      </c>
      <c r="F250" s="6">
        <v>44819.588194444441</v>
      </c>
    </row>
    <row r="251" spans="1:6" x14ac:dyDescent="0.3">
      <c r="A251" s="3">
        <v>250</v>
      </c>
      <c r="B251" s="4">
        <f t="shared" si="4"/>
        <v>0.39653035935563813</v>
      </c>
      <c r="C251" s="5">
        <v>80.7</v>
      </c>
      <c r="D251" s="5">
        <v>32</v>
      </c>
      <c r="E251" s="3" t="s">
        <v>11</v>
      </c>
      <c r="F251" s="6">
        <v>45825.511805555558</v>
      </c>
    </row>
    <row r="252" spans="1:6" x14ac:dyDescent="0.3">
      <c r="A252" s="3">
        <v>251</v>
      </c>
      <c r="B252" s="4">
        <f t="shared" si="4"/>
        <v>0.39689440993788822</v>
      </c>
      <c r="C252" s="5">
        <v>161</v>
      </c>
      <c r="D252" s="5">
        <v>63.9</v>
      </c>
      <c r="E252" s="3" t="s">
        <v>11</v>
      </c>
      <c r="F252" s="6">
        <v>45826.294444444437</v>
      </c>
    </row>
    <row r="253" spans="1:6" x14ac:dyDescent="0.3">
      <c r="A253" s="3">
        <v>252</v>
      </c>
      <c r="B253" s="4">
        <f t="shared" si="4"/>
        <v>0.39694656488549618</v>
      </c>
      <c r="C253" s="5">
        <v>78.599999999999994</v>
      </c>
      <c r="D253" s="5">
        <v>31.2</v>
      </c>
      <c r="E253" s="3" t="s">
        <v>7</v>
      </c>
      <c r="F253" s="6">
        <v>44749.332638888889</v>
      </c>
    </row>
    <row r="254" spans="1:6" x14ac:dyDescent="0.3">
      <c r="A254" s="3">
        <v>253</v>
      </c>
      <c r="B254" s="4">
        <f t="shared" si="4"/>
        <v>0.39729729729729729</v>
      </c>
      <c r="C254" s="5">
        <v>74</v>
      </c>
      <c r="D254" s="5">
        <v>29.4</v>
      </c>
      <c r="E254" s="3" t="s">
        <v>11</v>
      </c>
      <c r="F254" s="6">
        <v>45973.5</v>
      </c>
    </row>
    <row r="255" spans="1:6" x14ac:dyDescent="0.3">
      <c r="A255" s="3">
        <v>254</v>
      </c>
      <c r="B255" s="4">
        <f t="shared" si="4"/>
        <v>0.39812889812889807</v>
      </c>
      <c r="C255" s="5">
        <v>96.2</v>
      </c>
      <c r="D255" s="5">
        <v>38.299999999999997</v>
      </c>
      <c r="E255" s="3" t="s">
        <v>7</v>
      </c>
      <c r="F255" s="6">
        <v>46245.500694444447</v>
      </c>
    </row>
    <row r="256" spans="1:6" x14ac:dyDescent="0.3">
      <c r="A256" s="3">
        <v>255</v>
      </c>
      <c r="B256" s="4">
        <f t="shared" si="4"/>
        <v>0.39841089670828606</v>
      </c>
      <c r="C256" s="5">
        <v>88.1</v>
      </c>
      <c r="D256" s="5">
        <v>35.1</v>
      </c>
      <c r="E256" s="3" t="s">
        <v>7</v>
      </c>
      <c r="F256" s="6">
        <v>44608.5625</v>
      </c>
    </row>
    <row r="257" spans="1:6" x14ac:dyDescent="0.3">
      <c r="A257" s="3">
        <v>256</v>
      </c>
      <c r="B257" s="4">
        <f t="shared" si="4"/>
        <v>0.39927623642943305</v>
      </c>
      <c r="C257" s="5">
        <v>82.9</v>
      </c>
      <c r="D257" s="5">
        <v>33.1</v>
      </c>
      <c r="E257" s="3" t="s">
        <v>7</v>
      </c>
      <c r="F257" s="6">
        <v>45012.543749999997</v>
      </c>
    </row>
    <row r="258" spans="1:6" x14ac:dyDescent="0.3">
      <c r="A258" s="3">
        <v>257</v>
      </c>
      <c r="B258" s="4">
        <f t="shared" ref="B258:B321" si="5">D258/C258</f>
        <v>0.39957716701902746</v>
      </c>
      <c r="C258" s="5">
        <v>189.2</v>
      </c>
      <c r="D258" s="5">
        <v>75.599999999999994</v>
      </c>
      <c r="E258" s="3" t="s">
        <v>7</v>
      </c>
      <c r="F258" s="6">
        <v>44860.547222222223</v>
      </c>
    </row>
    <row r="259" spans="1:6" x14ac:dyDescent="0.3">
      <c r="A259" s="3">
        <v>258</v>
      </c>
      <c r="B259" s="4">
        <f t="shared" si="5"/>
        <v>0.39974779319041615</v>
      </c>
      <c r="C259" s="5">
        <v>79.3</v>
      </c>
      <c r="D259" s="5">
        <v>31.7</v>
      </c>
      <c r="E259" s="3" t="s">
        <v>11</v>
      </c>
      <c r="F259" s="6">
        <v>45048.071527777778</v>
      </c>
    </row>
    <row r="260" spans="1:6" x14ac:dyDescent="0.3">
      <c r="A260" s="3">
        <v>259</v>
      </c>
      <c r="B260" s="4">
        <f t="shared" si="5"/>
        <v>0.40140845070422537</v>
      </c>
      <c r="C260" s="5">
        <v>56.8</v>
      </c>
      <c r="D260" s="5">
        <v>22.8</v>
      </c>
      <c r="E260" s="3" t="s">
        <v>7</v>
      </c>
      <c r="F260" s="6">
        <v>45708.538888888892</v>
      </c>
    </row>
    <row r="261" spans="1:6" x14ac:dyDescent="0.3">
      <c r="A261" s="3">
        <v>260</v>
      </c>
      <c r="B261" s="4">
        <f t="shared" si="5"/>
        <v>0.40217391304347822</v>
      </c>
      <c r="C261" s="5">
        <v>55.2</v>
      </c>
      <c r="D261" s="5">
        <v>22.2</v>
      </c>
      <c r="E261" s="3" t="s">
        <v>7</v>
      </c>
      <c r="F261" s="6">
        <v>44603.422222222223</v>
      </c>
    </row>
    <row r="262" spans="1:6" x14ac:dyDescent="0.3">
      <c r="A262" s="3">
        <v>261</v>
      </c>
      <c r="B262" s="4">
        <f t="shared" si="5"/>
        <v>0.40220517737296263</v>
      </c>
      <c r="C262" s="5">
        <v>208.6</v>
      </c>
      <c r="D262" s="5">
        <v>83.9</v>
      </c>
      <c r="E262" s="3" t="s">
        <v>11</v>
      </c>
      <c r="F262" s="6">
        <v>45923.546527777777</v>
      </c>
    </row>
    <row r="263" spans="1:6" x14ac:dyDescent="0.3">
      <c r="A263" s="3">
        <v>262</v>
      </c>
      <c r="B263" s="4">
        <f t="shared" si="5"/>
        <v>0.40249609984399382</v>
      </c>
      <c r="C263" s="5">
        <v>128.19999999999999</v>
      </c>
      <c r="D263" s="5">
        <v>51.6</v>
      </c>
      <c r="E263" s="3" t="s">
        <v>7</v>
      </c>
      <c r="F263" s="6">
        <v>44830.228472222218</v>
      </c>
    </row>
    <row r="264" spans="1:6" x14ac:dyDescent="0.3">
      <c r="A264" s="3">
        <v>263</v>
      </c>
      <c r="B264" s="4">
        <f t="shared" si="5"/>
        <v>0.40282301845819768</v>
      </c>
      <c r="C264" s="5">
        <v>92.1</v>
      </c>
      <c r="D264" s="5">
        <v>37.1</v>
      </c>
      <c r="E264" s="3" t="s">
        <v>11</v>
      </c>
      <c r="F264" s="6">
        <v>44648.370138888888</v>
      </c>
    </row>
    <row r="265" spans="1:6" x14ac:dyDescent="0.3">
      <c r="A265" s="3">
        <v>264</v>
      </c>
      <c r="B265" s="4">
        <f t="shared" si="5"/>
        <v>0.40314136125654448</v>
      </c>
      <c r="C265" s="5">
        <v>95.5</v>
      </c>
      <c r="D265" s="5">
        <v>38.5</v>
      </c>
      <c r="E265" s="3" t="s">
        <v>7</v>
      </c>
      <c r="F265" s="6">
        <v>45422.629861111112</v>
      </c>
    </row>
    <row r="266" spans="1:6" x14ac:dyDescent="0.3">
      <c r="A266" s="3">
        <v>265</v>
      </c>
      <c r="B266" s="4">
        <f t="shared" si="5"/>
        <v>0.40533778148457045</v>
      </c>
      <c r="C266" s="5">
        <v>119.9</v>
      </c>
      <c r="D266" s="5">
        <v>48.6</v>
      </c>
      <c r="E266" s="3" t="s">
        <v>11</v>
      </c>
      <c r="F266" s="6">
        <v>46191.625</v>
      </c>
    </row>
    <row r="267" spans="1:6" x14ac:dyDescent="0.3">
      <c r="A267" s="3">
        <v>266</v>
      </c>
      <c r="B267" s="4">
        <f t="shared" si="5"/>
        <v>0.40609840609840608</v>
      </c>
      <c r="C267" s="5">
        <v>144.30000000000001</v>
      </c>
      <c r="D267" s="5">
        <v>58.6</v>
      </c>
      <c r="E267" s="3" t="s">
        <v>7</v>
      </c>
      <c r="F267" s="6">
        <v>45988.385416666657</v>
      </c>
    </row>
    <row r="268" spans="1:6" x14ac:dyDescent="0.3">
      <c r="A268" s="3">
        <v>267</v>
      </c>
      <c r="B268" s="4">
        <f t="shared" si="5"/>
        <v>0.40614990390775146</v>
      </c>
      <c r="C268" s="5">
        <v>156.1</v>
      </c>
      <c r="D268" s="5">
        <v>63.4</v>
      </c>
      <c r="E268" s="3" t="s">
        <v>7</v>
      </c>
      <c r="F268" s="6">
        <v>45207.898611111108</v>
      </c>
    </row>
    <row r="269" spans="1:6" x14ac:dyDescent="0.3">
      <c r="A269" s="3">
        <v>268</v>
      </c>
      <c r="B269" s="4">
        <f t="shared" si="5"/>
        <v>0.40671641791044777</v>
      </c>
      <c r="C269" s="5">
        <v>53.6</v>
      </c>
      <c r="D269" s="5">
        <v>21.8</v>
      </c>
      <c r="E269" s="3" t="s">
        <v>11</v>
      </c>
      <c r="F269" s="6">
        <v>45814.023611111108</v>
      </c>
    </row>
    <row r="270" spans="1:6" x14ac:dyDescent="0.3">
      <c r="A270" s="3">
        <v>269</v>
      </c>
      <c r="B270" s="4">
        <f t="shared" si="5"/>
        <v>0.40697674418604646</v>
      </c>
      <c r="C270" s="5">
        <v>77.400000000000006</v>
      </c>
      <c r="D270" s="5">
        <v>31.5</v>
      </c>
      <c r="E270" s="3" t="s">
        <v>7</v>
      </c>
      <c r="F270" s="6">
        <v>45244.497916666667</v>
      </c>
    </row>
    <row r="271" spans="1:6" x14ac:dyDescent="0.3">
      <c r="A271" s="3">
        <v>270</v>
      </c>
      <c r="B271" s="4">
        <f t="shared" si="5"/>
        <v>0.4080962800875273</v>
      </c>
      <c r="C271" s="5">
        <v>91.4</v>
      </c>
      <c r="D271" s="5">
        <v>37.299999999999997</v>
      </c>
      <c r="E271" s="3" t="s">
        <v>7</v>
      </c>
      <c r="F271" s="6">
        <v>45653.734722222223</v>
      </c>
    </row>
    <row r="272" spans="1:6" x14ac:dyDescent="0.3">
      <c r="A272" s="3">
        <v>271</v>
      </c>
      <c r="B272" s="4">
        <f t="shared" si="5"/>
        <v>0.40810419681620841</v>
      </c>
      <c r="C272" s="5">
        <v>138.19999999999999</v>
      </c>
      <c r="D272" s="5">
        <v>56.4</v>
      </c>
      <c r="E272" s="3" t="s">
        <v>7</v>
      </c>
      <c r="F272" s="6">
        <v>44531.376388888893</v>
      </c>
    </row>
    <row r="273" spans="1:6" x14ac:dyDescent="0.3">
      <c r="A273" s="3">
        <v>272</v>
      </c>
      <c r="B273" s="4">
        <f t="shared" si="5"/>
        <v>0.40816326530612246</v>
      </c>
      <c r="C273" s="5">
        <v>68.599999999999994</v>
      </c>
      <c r="D273" s="5">
        <v>28</v>
      </c>
      <c r="E273" s="3" t="s">
        <v>7</v>
      </c>
      <c r="F273" s="6">
        <v>45905.5</v>
      </c>
    </row>
    <row r="274" spans="1:6" x14ac:dyDescent="0.3">
      <c r="A274" s="3">
        <v>273</v>
      </c>
      <c r="B274" s="4">
        <f t="shared" si="5"/>
        <v>0.40837696335078533</v>
      </c>
      <c r="C274" s="5">
        <v>57.3</v>
      </c>
      <c r="D274" s="5">
        <v>23.4</v>
      </c>
      <c r="E274" s="3" t="s">
        <v>11</v>
      </c>
      <c r="F274" s="6">
        <v>46237.525000000001</v>
      </c>
    </row>
    <row r="275" spans="1:6" x14ac:dyDescent="0.3">
      <c r="A275" s="3">
        <v>274</v>
      </c>
      <c r="B275" s="4">
        <f t="shared" si="5"/>
        <v>0.41087613293051356</v>
      </c>
      <c r="C275" s="5">
        <v>66.2</v>
      </c>
      <c r="D275" s="5">
        <v>27.2</v>
      </c>
      <c r="E275" s="3" t="s">
        <v>7</v>
      </c>
      <c r="F275" s="6">
        <v>45390.505555555559</v>
      </c>
    </row>
    <row r="276" spans="1:6" x14ac:dyDescent="0.3">
      <c r="A276" s="3">
        <v>275</v>
      </c>
      <c r="B276" s="4">
        <f t="shared" si="5"/>
        <v>0.41167434715821816</v>
      </c>
      <c r="C276" s="5">
        <v>65.099999999999994</v>
      </c>
      <c r="D276" s="5">
        <v>26.8</v>
      </c>
      <c r="E276" s="3" t="s">
        <v>11</v>
      </c>
      <c r="F276" s="6">
        <v>45219.126388888893</v>
      </c>
    </row>
    <row r="277" spans="1:6" x14ac:dyDescent="0.3">
      <c r="A277" s="3">
        <v>276</v>
      </c>
      <c r="B277" s="4">
        <f t="shared" si="5"/>
        <v>0.41211225997045786</v>
      </c>
      <c r="C277" s="5">
        <v>135.4</v>
      </c>
      <c r="D277" s="5">
        <v>55.8</v>
      </c>
      <c r="E277" s="3" t="s">
        <v>7</v>
      </c>
      <c r="F277" s="6">
        <v>44727.789583333331</v>
      </c>
    </row>
    <row r="278" spans="1:6" x14ac:dyDescent="0.3">
      <c r="A278" s="3">
        <v>277</v>
      </c>
      <c r="B278" s="4">
        <f t="shared" si="5"/>
        <v>0.41257668711656437</v>
      </c>
      <c r="C278" s="5">
        <v>130.4</v>
      </c>
      <c r="D278" s="5">
        <v>53.8</v>
      </c>
      <c r="E278" s="3" t="s">
        <v>11</v>
      </c>
      <c r="F278" s="6">
        <v>45510.597916666673</v>
      </c>
    </row>
    <row r="279" spans="1:6" x14ac:dyDescent="0.3">
      <c r="A279" s="3">
        <v>278</v>
      </c>
      <c r="B279" s="4">
        <f t="shared" si="5"/>
        <v>0.41293166789125646</v>
      </c>
      <c r="C279" s="5">
        <v>136.1</v>
      </c>
      <c r="D279" s="5">
        <v>56.2</v>
      </c>
      <c r="E279" s="3" t="s">
        <v>11</v>
      </c>
      <c r="F279" s="6">
        <v>44586.399305555547</v>
      </c>
    </row>
    <row r="280" spans="1:6" x14ac:dyDescent="0.3">
      <c r="A280" s="3">
        <v>279</v>
      </c>
      <c r="B280" s="4">
        <f t="shared" si="5"/>
        <v>0.41335131490222515</v>
      </c>
      <c r="C280" s="5">
        <v>148.30000000000001</v>
      </c>
      <c r="D280" s="5">
        <v>61.3</v>
      </c>
      <c r="E280" s="3" t="s">
        <v>11</v>
      </c>
      <c r="F280" s="6">
        <v>45754.593055555553</v>
      </c>
    </row>
    <row r="281" spans="1:6" x14ac:dyDescent="0.3">
      <c r="A281" s="3">
        <v>280</v>
      </c>
      <c r="B281" s="4">
        <f t="shared" si="5"/>
        <v>0.41390306122448978</v>
      </c>
      <c r="C281" s="5">
        <v>156.80000000000001</v>
      </c>
      <c r="D281" s="5">
        <v>64.900000000000006</v>
      </c>
      <c r="E281" s="3" t="s">
        <v>11</v>
      </c>
      <c r="F281" s="6">
        <v>46230.083333333343</v>
      </c>
    </row>
    <row r="282" spans="1:6" x14ac:dyDescent="0.3">
      <c r="A282" s="3">
        <v>281</v>
      </c>
      <c r="B282" s="4">
        <f t="shared" si="5"/>
        <v>0.41425818882466281</v>
      </c>
      <c r="C282" s="5">
        <v>103.8</v>
      </c>
      <c r="D282" s="5">
        <v>43</v>
      </c>
      <c r="E282" s="3" t="s">
        <v>7</v>
      </c>
      <c r="F282" s="6">
        <v>45841.168055555558</v>
      </c>
    </row>
    <row r="283" spans="1:6" x14ac:dyDescent="0.3">
      <c r="A283" s="3">
        <v>282</v>
      </c>
      <c r="B283" s="4">
        <f t="shared" si="5"/>
        <v>0.41488451668092385</v>
      </c>
      <c r="C283" s="5">
        <v>116.9</v>
      </c>
      <c r="D283" s="5">
        <v>48.5</v>
      </c>
      <c r="E283" s="3" t="s">
        <v>11</v>
      </c>
      <c r="F283" s="6">
        <v>45638.719444444447</v>
      </c>
    </row>
    <row r="284" spans="1:6" x14ac:dyDescent="0.3">
      <c r="A284" s="3">
        <v>283</v>
      </c>
      <c r="B284" s="4">
        <f t="shared" si="5"/>
        <v>0.41603053435114506</v>
      </c>
      <c r="C284" s="5">
        <v>104.8</v>
      </c>
      <c r="D284" s="5">
        <v>43.6</v>
      </c>
      <c r="E284" s="3" t="s">
        <v>7</v>
      </c>
      <c r="F284" s="6">
        <v>44789.690972222219</v>
      </c>
    </row>
    <row r="285" spans="1:6" x14ac:dyDescent="0.3">
      <c r="A285" s="3">
        <v>284</v>
      </c>
      <c r="B285" s="4">
        <f t="shared" si="5"/>
        <v>0.41673243883188632</v>
      </c>
      <c r="C285" s="5">
        <v>126.7</v>
      </c>
      <c r="D285" s="5">
        <v>52.8</v>
      </c>
      <c r="E285" s="3" t="s">
        <v>7</v>
      </c>
      <c r="F285" s="6">
        <v>44833.645138888889</v>
      </c>
    </row>
    <row r="286" spans="1:6" x14ac:dyDescent="0.3">
      <c r="A286" s="3">
        <v>285</v>
      </c>
      <c r="B286" s="4">
        <f t="shared" si="5"/>
        <v>0.4178082191780822</v>
      </c>
      <c r="C286" s="5">
        <v>116.8</v>
      </c>
      <c r="D286" s="5">
        <v>48.8</v>
      </c>
      <c r="E286" s="3" t="s">
        <v>11</v>
      </c>
      <c r="F286" s="6">
        <v>44788.037499999999</v>
      </c>
    </row>
    <row r="287" spans="1:6" x14ac:dyDescent="0.3">
      <c r="A287" s="3">
        <v>286</v>
      </c>
      <c r="B287" s="4">
        <f t="shared" si="5"/>
        <v>0.41930835734870314</v>
      </c>
      <c r="C287" s="5">
        <v>69.400000000000006</v>
      </c>
      <c r="D287" s="5">
        <v>29.1</v>
      </c>
      <c r="E287" s="3" t="s">
        <v>11</v>
      </c>
      <c r="F287" s="6">
        <v>44596.511111111111</v>
      </c>
    </row>
    <row r="288" spans="1:6" x14ac:dyDescent="0.3">
      <c r="A288" s="3">
        <v>287</v>
      </c>
      <c r="B288" s="4">
        <f t="shared" si="5"/>
        <v>0.41946697566628044</v>
      </c>
      <c r="C288" s="5">
        <v>86.3</v>
      </c>
      <c r="D288" s="5">
        <v>36.200000000000003</v>
      </c>
      <c r="E288" s="3" t="s">
        <v>7</v>
      </c>
      <c r="F288" s="6">
        <v>44816.1875</v>
      </c>
    </row>
    <row r="289" spans="1:6" x14ac:dyDescent="0.3">
      <c r="A289" s="3">
        <v>288</v>
      </c>
      <c r="B289" s="4">
        <f t="shared" si="5"/>
        <v>0.41955835962145116</v>
      </c>
      <c r="C289" s="5">
        <v>63.4</v>
      </c>
      <c r="D289" s="5">
        <v>26.6</v>
      </c>
      <c r="E289" s="3" t="s">
        <v>11</v>
      </c>
      <c r="F289" s="6">
        <v>45208.038194444453</v>
      </c>
    </row>
    <row r="290" spans="1:6" x14ac:dyDescent="0.3">
      <c r="A290" s="3">
        <v>289</v>
      </c>
      <c r="B290" s="4">
        <f t="shared" si="5"/>
        <v>0.42018348623853208</v>
      </c>
      <c r="C290" s="5">
        <v>109</v>
      </c>
      <c r="D290" s="5">
        <v>45.8</v>
      </c>
      <c r="E290" s="3" t="s">
        <v>7</v>
      </c>
      <c r="F290" s="6">
        <v>44755.061111111107</v>
      </c>
    </row>
    <row r="291" spans="1:6" x14ac:dyDescent="0.3">
      <c r="A291" s="3">
        <v>290</v>
      </c>
      <c r="B291" s="4">
        <f t="shared" si="5"/>
        <v>0.42026825633383014</v>
      </c>
      <c r="C291" s="5">
        <v>67.099999999999994</v>
      </c>
      <c r="D291" s="5">
        <v>28.2</v>
      </c>
      <c r="E291" s="3" t="s">
        <v>7</v>
      </c>
      <c r="F291" s="6">
        <v>45414.875694444447</v>
      </c>
    </row>
    <row r="292" spans="1:6" x14ac:dyDescent="0.3">
      <c r="A292" s="3">
        <v>291</v>
      </c>
      <c r="B292" s="4">
        <f t="shared" si="5"/>
        <v>0.42056074766355139</v>
      </c>
      <c r="C292" s="5">
        <v>139.1</v>
      </c>
      <c r="D292" s="5">
        <v>58.5</v>
      </c>
      <c r="E292" s="3" t="s">
        <v>7</v>
      </c>
      <c r="F292" s="6">
        <v>45648.919444444437</v>
      </c>
    </row>
    <row r="293" spans="1:6" x14ac:dyDescent="0.3">
      <c r="A293" s="3">
        <v>292</v>
      </c>
      <c r="B293" s="4">
        <f t="shared" si="5"/>
        <v>0.42059336823734733</v>
      </c>
      <c r="C293" s="5">
        <v>57.3</v>
      </c>
      <c r="D293" s="5">
        <v>24.1</v>
      </c>
      <c r="E293" s="3" t="s">
        <v>7</v>
      </c>
      <c r="F293" s="6">
        <v>45208.706944444442</v>
      </c>
    </row>
    <row r="294" spans="1:6" x14ac:dyDescent="0.3">
      <c r="A294" s="3">
        <v>293</v>
      </c>
      <c r="B294" s="4">
        <f t="shared" si="5"/>
        <v>0.42132867132867136</v>
      </c>
      <c r="C294" s="5">
        <v>57.2</v>
      </c>
      <c r="D294" s="5">
        <v>24.1</v>
      </c>
      <c r="E294" s="3" t="s">
        <v>7</v>
      </c>
      <c r="F294" s="6">
        <v>45523.690972222219</v>
      </c>
    </row>
    <row r="295" spans="1:6" x14ac:dyDescent="0.3">
      <c r="A295" s="3">
        <v>294</v>
      </c>
      <c r="B295" s="4">
        <f t="shared" si="5"/>
        <v>0.42191544434857631</v>
      </c>
      <c r="C295" s="5">
        <v>115.9</v>
      </c>
      <c r="D295" s="5">
        <v>48.9</v>
      </c>
      <c r="E295" s="3" t="s">
        <v>11</v>
      </c>
      <c r="F295" s="6">
        <v>45716.651388888888</v>
      </c>
    </row>
    <row r="296" spans="1:6" x14ac:dyDescent="0.3">
      <c r="A296" s="3">
        <v>295</v>
      </c>
      <c r="B296" s="4">
        <f t="shared" si="5"/>
        <v>0.42194513715710719</v>
      </c>
      <c r="C296" s="5">
        <v>200.5</v>
      </c>
      <c r="D296" s="5">
        <v>84.6</v>
      </c>
      <c r="E296" s="3" t="s">
        <v>11</v>
      </c>
      <c r="F296" s="6">
        <v>44973.34652777778</v>
      </c>
    </row>
    <row r="297" spans="1:6" x14ac:dyDescent="0.3">
      <c r="A297" s="3">
        <v>296</v>
      </c>
      <c r="B297" s="4">
        <f t="shared" si="5"/>
        <v>0.4219653179190751</v>
      </c>
      <c r="C297" s="5">
        <v>69.2</v>
      </c>
      <c r="D297" s="5">
        <v>29.2</v>
      </c>
      <c r="E297" s="3" t="s">
        <v>11</v>
      </c>
      <c r="F297" s="6">
        <v>44747.248611111107</v>
      </c>
    </row>
    <row r="298" spans="1:6" x14ac:dyDescent="0.3">
      <c r="A298" s="3">
        <v>297</v>
      </c>
      <c r="B298" s="4">
        <f t="shared" si="5"/>
        <v>0.42286751361161523</v>
      </c>
      <c r="C298" s="5">
        <v>55.1</v>
      </c>
      <c r="D298" s="5">
        <v>23.3</v>
      </c>
      <c r="E298" s="3" t="s">
        <v>11</v>
      </c>
      <c r="F298" s="6">
        <v>45139.279166666667</v>
      </c>
    </row>
    <row r="299" spans="1:6" x14ac:dyDescent="0.3">
      <c r="A299" s="3">
        <v>298</v>
      </c>
      <c r="B299" s="4">
        <f t="shared" si="5"/>
        <v>0.4229368932038835</v>
      </c>
      <c r="C299" s="5">
        <v>164.8</v>
      </c>
      <c r="D299" s="5">
        <v>69.7</v>
      </c>
      <c r="E299" s="3" t="s">
        <v>11</v>
      </c>
      <c r="F299" s="6">
        <v>46114.628472222219</v>
      </c>
    </row>
    <row r="300" spans="1:6" x14ac:dyDescent="0.3">
      <c r="A300" s="3">
        <v>299</v>
      </c>
      <c r="B300" s="4">
        <f t="shared" si="5"/>
        <v>0.42348284960422167</v>
      </c>
      <c r="C300" s="5">
        <v>151.6</v>
      </c>
      <c r="D300" s="5">
        <v>64.2</v>
      </c>
      <c r="E300" s="3" t="s">
        <v>7</v>
      </c>
      <c r="F300" s="6">
        <v>44869.57708333333</v>
      </c>
    </row>
    <row r="301" spans="1:6" x14ac:dyDescent="0.3">
      <c r="A301" s="3">
        <v>300</v>
      </c>
      <c r="B301" s="4">
        <f t="shared" si="5"/>
        <v>0.42379182156133832</v>
      </c>
      <c r="C301" s="5">
        <v>80.7</v>
      </c>
      <c r="D301" s="5">
        <v>34.200000000000003</v>
      </c>
      <c r="E301" s="3" t="s">
        <v>11</v>
      </c>
      <c r="F301" s="6">
        <v>44957.070138888892</v>
      </c>
    </row>
    <row r="302" spans="1:6" x14ac:dyDescent="0.3">
      <c r="A302" s="3">
        <v>301</v>
      </c>
      <c r="B302" s="4">
        <f t="shared" si="5"/>
        <v>0.42397336293007776</v>
      </c>
      <c r="C302" s="5">
        <v>90.1</v>
      </c>
      <c r="D302" s="5">
        <v>38.200000000000003</v>
      </c>
      <c r="E302" s="3" t="s">
        <v>7</v>
      </c>
      <c r="F302" s="6">
        <v>44768.694444444453</v>
      </c>
    </row>
    <row r="303" spans="1:6" x14ac:dyDescent="0.3">
      <c r="A303" s="3">
        <v>302</v>
      </c>
      <c r="B303" s="4">
        <f t="shared" si="5"/>
        <v>0.42412140575079871</v>
      </c>
      <c r="C303" s="5">
        <v>125.2</v>
      </c>
      <c r="D303" s="5">
        <v>53.1</v>
      </c>
      <c r="E303" s="3" t="s">
        <v>11</v>
      </c>
      <c r="F303" s="6">
        <v>45265.626388888893</v>
      </c>
    </row>
    <row r="304" spans="1:6" x14ac:dyDescent="0.3">
      <c r="A304" s="3">
        <v>303</v>
      </c>
      <c r="B304" s="4">
        <f t="shared" si="5"/>
        <v>0.42559753276792606</v>
      </c>
      <c r="C304" s="5">
        <v>129.69999999999999</v>
      </c>
      <c r="D304" s="5">
        <v>55.2</v>
      </c>
      <c r="E304" s="3" t="s">
        <v>11</v>
      </c>
      <c r="F304" s="6">
        <v>44603.35833333333</v>
      </c>
    </row>
    <row r="305" spans="1:6" x14ac:dyDescent="0.3">
      <c r="A305" s="3">
        <v>304</v>
      </c>
      <c r="B305" s="4">
        <f t="shared" si="5"/>
        <v>0.42617960426179602</v>
      </c>
      <c r="C305" s="5">
        <v>65.7</v>
      </c>
      <c r="D305" s="5">
        <v>28</v>
      </c>
      <c r="E305" s="3" t="s">
        <v>7</v>
      </c>
      <c r="F305" s="6">
        <v>45345.40625</v>
      </c>
    </row>
    <row r="306" spans="1:6" x14ac:dyDescent="0.3">
      <c r="A306" s="3">
        <v>305</v>
      </c>
      <c r="B306" s="4">
        <f t="shared" si="5"/>
        <v>0.42658423493044823</v>
      </c>
      <c r="C306" s="5">
        <v>64.7</v>
      </c>
      <c r="D306" s="5">
        <v>27.6</v>
      </c>
      <c r="E306" s="3" t="s">
        <v>11</v>
      </c>
      <c r="F306" s="6">
        <v>44883.853472222218</v>
      </c>
    </row>
    <row r="307" spans="1:6" x14ac:dyDescent="0.3">
      <c r="A307" s="3">
        <v>306</v>
      </c>
      <c r="B307" s="4">
        <f t="shared" si="5"/>
        <v>0.42732558139534882</v>
      </c>
      <c r="C307" s="5">
        <v>68.8</v>
      </c>
      <c r="D307" s="5">
        <v>29.4</v>
      </c>
      <c r="E307" s="3" t="s">
        <v>11</v>
      </c>
      <c r="F307" s="6">
        <v>45320.31527777778</v>
      </c>
    </row>
    <row r="308" spans="1:6" x14ac:dyDescent="0.3">
      <c r="A308" s="3">
        <v>307</v>
      </c>
      <c r="B308" s="4">
        <f t="shared" si="5"/>
        <v>0.42782608695652175</v>
      </c>
      <c r="C308" s="5">
        <v>115</v>
      </c>
      <c r="D308" s="5">
        <v>49.2</v>
      </c>
      <c r="E308" s="3" t="s">
        <v>11</v>
      </c>
      <c r="F308" s="6">
        <v>45184.368055555547</v>
      </c>
    </row>
    <row r="309" spans="1:6" x14ac:dyDescent="0.3">
      <c r="A309" s="3">
        <v>308</v>
      </c>
      <c r="B309" s="4">
        <f t="shared" si="5"/>
        <v>0.42797783933518002</v>
      </c>
      <c r="C309" s="5">
        <v>72.2</v>
      </c>
      <c r="D309" s="5">
        <v>30.9</v>
      </c>
      <c r="E309" s="3" t="s">
        <v>11</v>
      </c>
      <c r="F309" s="6">
        <v>45194.472222222219</v>
      </c>
    </row>
    <row r="310" spans="1:6" x14ac:dyDescent="0.3">
      <c r="A310" s="3">
        <v>309</v>
      </c>
      <c r="B310" s="4">
        <f t="shared" si="5"/>
        <v>0.42812982998454402</v>
      </c>
      <c r="C310" s="5">
        <v>64.7</v>
      </c>
      <c r="D310" s="5">
        <v>27.7</v>
      </c>
      <c r="E310" s="3" t="s">
        <v>7</v>
      </c>
      <c r="F310" s="6">
        <v>46041.098611111112</v>
      </c>
    </row>
    <row r="311" spans="1:6" x14ac:dyDescent="0.3">
      <c r="A311" s="3">
        <v>310</v>
      </c>
      <c r="B311" s="4">
        <f t="shared" si="5"/>
        <v>0.4285714285714286</v>
      </c>
      <c r="C311" s="5">
        <v>107.1</v>
      </c>
      <c r="D311" s="5">
        <v>45.9</v>
      </c>
      <c r="E311" s="3" t="s">
        <v>7</v>
      </c>
      <c r="F311" s="6">
        <v>45513.525694444441</v>
      </c>
    </row>
    <row r="312" spans="1:6" x14ac:dyDescent="0.3">
      <c r="A312" s="3">
        <v>311</v>
      </c>
      <c r="B312" s="4">
        <f t="shared" si="5"/>
        <v>0.42986152919927761</v>
      </c>
      <c r="C312" s="5">
        <v>166.1</v>
      </c>
      <c r="D312" s="5">
        <v>71.400000000000006</v>
      </c>
      <c r="E312" s="3" t="s">
        <v>11</v>
      </c>
      <c r="F312" s="6">
        <v>44550.573611111111</v>
      </c>
    </row>
    <row r="313" spans="1:6" x14ac:dyDescent="0.3">
      <c r="A313" s="3">
        <v>312</v>
      </c>
      <c r="B313" s="4">
        <f t="shared" si="5"/>
        <v>0.42995594713656388</v>
      </c>
      <c r="C313" s="5">
        <v>113.5</v>
      </c>
      <c r="D313" s="5">
        <v>48.8</v>
      </c>
      <c r="E313" s="3" t="s">
        <v>7</v>
      </c>
      <c r="F313" s="6">
        <v>45860.328472222223</v>
      </c>
    </row>
    <row r="314" spans="1:6" x14ac:dyDescent="0.3">
      <c r="A314" s="3">
        <v>313</v>
      </c>
      <c r="B314" s="4">
        <f t="shared" si="5"/>
        <v>0.43110236220472442</v>
      </c>
      <c r="C314" s="5">
        <v>50.8</v>
      </c>
      <c r="D314" s="5">
        <v>21.9</v>
      </c>
      <c r="E314" s="3" t="s">
        <v>7</v>
      </c>
      <c r="F314" s="6">
        <v>45390.878472222219</v>
      </c>
    </row>
    <row r="315" spans="1:6" x14ac:dyDescent="0.3">
      <c r="A315" s="3">
        <v>314</v>
      </c>
      <c r="B315" s="4">
        <f t="shared" si="5"/>
        <v>0.43145869947275928</v>
      </c>
      <c r="C315" s="5">
        <v>113.8</v>
      </c>
      <c r="D315" s="5">
        <v>49.1</v>
      </c>
      <c r="E315" s="3" t="s">
        <v>11</v>
      </c>
      <c r="F315" s="6">
        <v>44665.760416666657</v>
      </c>
    </row>
    <row r="316" spans="1:6" x14ac:dyDescent="0.3">
      <c r="A316" s="3">
        <v>315</v>
      </c>
      <c r="B316" s="4">
        <f t="shared" si="5"/>
        <v>0.43160377358490565</v>
      </c>
      <c r="C316" s="5">
        <v>127.2</v>
      </c>
      <c r="D316" s="5">
        <v>54.9</v>
      </c>
      <c r="E316" s="3" t="s">
        <v>11</v>
      </c>
      <c r="F316" s="6">
        <v>46055.428472222222</v>
      </c>
    </row>
    <row r="317" spans="1:6" x14ac:dyDescent="0.3">
      <c r="A317" s="3">
        <v>316</v>
      </c>
      <c r="B317" s="4">
        <f t="shared" si="5"/>
        <v>0.43227239082161362</v>
      </c>
      <c r="C317" s="5">
        <v>135.1</v>
      </c>
      <c r="D317" s="5">
        <v>58.4</v>
      </c>
      <c r="E317" s="3" t="s">
        <v>7</v>
      </c>
      <c r="F317" s="6">
        <v>44930.552777777782</v>
      </c>
    </row>
    <row r="318" spans="1:6" x14ac:dyDescent="0.3">
      <c r="A318" s="3">
        <v>317</v>
      </c>
      <c r="B318" s="4">
        <f t="shared" si="5"/>
        <v>0.43371378402107108</v>
      </c>
      <c r="C318" s="5">
        <v>113.9</v>
      </c>
      <c r="D318" s="5">
        <v>49.4</v>
      </c>
      <c r="E318" s="3" t="s">
        <v>7</v>
      </c>
      <c r="F318" s="6">
        <v>45153.521527777782</v>
      </c>
    </row>
    <row r="319" spans="1:6" x14ac:dyDescent="0.3">
      <c r="A319" s="3">
        <v>318</v>
      </c>
      <c r="B319" s="4">
        <f t="shared" si="5"/>
        <v>0.43394199785177229</v>
      </c>
      <c r="C319" s="5">
        <v>93.1</v>
      </c>
      <c r="D319" s="5">
        <v>40.4</v>
      </c>
      <c r="E319" s="3" t="s">
        <v>11</v>
      </c>
      <c r="F319" s="6">
        <v>44764.874305555553</v>
      </c>
    </row>
    <row r="320" spans="1:6" x14ac:dyDescent="0.3">
      <c r="A320" s="3">
        <v>319</v>
      </c>
      <c r="B320" s="4">
        <f t="shared" si="5"/>
        <v>0.43421795595708645</v>
      </c>
      <c r="C320" s="5">
        <v>177.1</v>
      </c>
      <c r="D320" s="5">
        <v>76.900000000000006</v>
      </c>
      <c r="E320" s="3" t="s">
        <v>11</v>
      </c>
      <c r="F320" s="6">
        <v>44725.693749999999</v>
      </c>
    </row>
    <row r="321" spans="1:6" x14ac:dyDescent="0.3">
      <c r="A321" s="3">
        <v>320</v>
      </c>
      <c r="B321" s="4">
        <f t="shared" si="5"/>
        <v>0.43464399574920298</v>
      </c>
      <c r="C321" s="5">
        <v>188.2</v>
      </c>
      <c r="D321" s="5">
        <v>81.8</v>
      </c>
      <c r="E321" s="3" t="s">
        <v>11</v>
      </c>
      <c r="F321" s="6">
        <v>45660.845138888893</v>
      </c>
    </row>
    <row r="322" spans="1:6" x14ac:dyDescent="0.3">
      <c r="A322" s="3">
        <v>321</v>
      </c>
      <c r="B322" s="4">
        <f t="shared" ref="B322:B385" si="6">D322/C322</f>
        <v>0.43467011642949549</v>
      </c>
      <c r="C322" s="5">
        <v>77.3</v>
      </c>
      <c r="D322" s="5">
        <v>33.6</v>
      </c>
      <c r="E322" s="3" t="s">
        <v>7</v>
      </c>
      <c r="F322" s="6">
        <v>44706.717361111107</v>
      </c>
    </row>
    <row r="323" spans="1:6" x14ac:dyDescent="0.3">
      <c r="A323" s="3">
        <v>322</v>
      </c>
      <c r="B323" s="4">
        <f t="shared" si="6"/>
        <v>0.43486590038314171</v>
      </c>
      <c r="C323" s="5">
        <v>52.2</v>
      </c>
      <c r="D323" s="5">
        <v>22.7</v>
      </c>
      <c r="E323" s="3" t="s">
        <v>11</v>
      </c>
      <c r="F323" s="6">
        <v>44718.738194444442</v>
      </c>
    </row>
    <row r="324" spans="1:6" x14ac:dyDescent="0.3">
      <c r="A324" s="3">
        <v>323</v>
      </c>
      <c r="B324" s="4">
        <f t="shared" si="6"/>
        <v>0.43696450428396577</v>
      </c>
      <c r="C324" s="5">
        <v>81.7</v>
      </c>
      <c r="D324" s="5">
        <v>35.700000000000003</v>
      </c>
      <c r="E324" s="3" t="s">
        <v>11</v>
      </c>
      <c r="F324" s="6">
        <v>44504.499305555553</v>
      </c>
    </row>
    <row r="325" spans="1:6" x14ac:dyDescent="0.3">
      <c r="A325" s="3">
        <v>324</v>
      </c>
      <c r="B325" s="4">
        <f t="shared" si="6"/>
        <v>0.43705799151343699</v>
      </c>
      <c r="C325" s="5">
        <v>141.4</v>
      </c>
      <c r="D325" s="5">
        <v>61.8</v>
      </c>
      <c r="E325" s="3" t="s">
        <v>7</v>
      </c>
      <c r="F325" s="6">
        <v>44938.572222222218</v>
      </c>
    </row>
    <row r="326" spans="1:6" x14ac:dyDescent="0.3">
      <c r="A326" s="3">
        <v>325</v>
      </c>
      <c r="B326" s="4">
        <f t="shared" si="6"/>
        <v>0.43807870370370372</v>
      </c>
      <c r="C326" s="5">
        <v>518.4</v>
      </c>
      <c r="D326" s="5">
        <v>227.1</v>
      </c>
      <c r="E326" s="3" t="s">
        <v>11</v>
      </c>
      <c r="F326" s="6">
        <v>44830.043055555558</v>
      </c>
    </row>
    <row r="327" spans="1:6" x14ac:dyDescent="0.3">
      <c r="A327" s="3">
        <v>326</v>
      </c>
      <c r="B327" s="4">
        <f t="shared" si="6"/>
        <v>0.43939393939393934</v>
      </c>
      <c r="C327" s="5">
        <v>112.2</v>
      </c>
      <c r="D327" s="5">
        <v>49.3</v>
      </c>
      <c r="E327" s="3" t="s">
        <v>11</v>
      </c>
      <c r="F327" s="6">
        <v>45609.5625</v>
      </c>
    </row>
    <row r="328" spans="1:6" x14ac:dyDescent="0.3">
      <c r="A328" s="3">
        <v>327</v>
      </c>
      <c r="B328" s="4">
        <f t="shared" si="6"/>
        <v>0.44155844155844159</v>
      </c>
      <c r="C328" s="5">
        <v>69.3</v>
      </c>
      <c r="D328" s="5">
        <v>30.6</v>
      </c>
      <c r="E328" s="3" t="s">
        <v>11</v>
      </c>
      <c r="F328" s="6">
        <v>45387.518055555563</v>
      </c>
    </row>
    <row r="329" spans="1:6" x14ac:dyDescent="0.3">
      <c r="A329" s="3">
        <v>328</v>
      </c>
      <c r="B329" s="4">
        <f t="shared" si="6"/>
        <v>0.44189852700490995</v>
      </c>
      <c r="C329" s="5">
        <v>61.1</v>
      </c>
      <c r="D329" s="5">
        <v>27</v>
      </c>
      <c r="E329" s="3" t="s">
        <v>7</v>
      </c>
      <c r="F329" s="6">
        <v>45069.677083333343</v>
      </c>
    </row>
    <row r="330" spans="1:6" x14ac:dyDescent="0.3">
      <c r="A330" s="3">
        <v>329</v>
      </c>
      <c r="B330" s="4">
        <f t="shared" si="6"/>
        <v>0.44284428442844287</v>
      </c>
      <c r="C330" s="5">
        <v>111.1</v>
      </c>
      <c r="D330" s="5">
        <v>49.2</v>
      </c>
      <c r="E330" s="3" t="s">
        <v>7</v>
      </c>
      <c r="F330" s="6">
        <v>44595.450694444437</v>
      </c>
    </row>
    <row r="331" spans="1:6" x14ac:dyDescent="0.3">
      <c r="A331" s="3">
        <v>330</v>
      </c>
      <c r="B331" s="4">
        <f t="shared" si="6"/>
        <v>0.44289693593314766</v>
      </c>
      <c r="C331" s="5">
        <v>107.7</v>
      </c>
      <c r="D331" s="5">
        <v>47.7</v>
      </c>
      <c r="E331" s="3" t="s">
        <v>11</v>
      </c>
      <c r="F331" s="6">
        <v>44524.298611111109</v>
      </c>
    </row>
    <row r="332" spans="1:6" x14ac:dyDescent="0.3">
      <c r="A332" s="3">
        <v>331</v>
      </c>
      <c r="B332" s="4">
        <f t="shared" si="6"/>
        <v>0.44366197183098594</v>
      </c>
      <c r="C332" s="5">
        <v>71</v>
      </c>
      <c r="D332" s="5">
        <v>31.5</v>
      </c>
      <c r="E332" s="3" t="s">
        <v>7</v>
      </c>
      <c r="F332" s="6">
        <v>45282.415972222218</v>
      </c>
    </row>
    <row r="333" spans="1:6" x14ac:dyDescent="0.3">
      <c r="A333" s="3">
        <v>332</v>
      </c>
      <c r="B333" s="4">
        <f t="shared" si="6"/>
        <v>0.44383346425765907</v>
      </c>
      <c r="C333" s="5">
        <v>127.3</v>
      </c>
      <c r="D333" s="5">
        <v>56.5</v>
      </c>
      <c r="E333" s="3" t="s">
        <v>11</v>
      </c>
      <c r="F333" s="6">
        <v>45698.461805555547</v>
      </c>
    </row>
    <row r="334" spans="1:6" x14ac:dyDescent="0.3">
      <c r="A334" s="3">
        <v>333</v>
      </c>
      <c r="B334" s="4">
        <f t="shared" si="6"/>
        <v>0.44504504504504505</v>
      </c>
      <c r="C334" s="5">
        <v>55.5</v>
      </c>
      <c r="D334" s="5">
        <v>24.7</v>
      </c>
      <c r="E334" s="3" t="s">
        <v>7</v>
      </c>
      <c r="F334" s="6">
        <v>45622.342361111107</v>
      </c>
    </row>
    <row r="335" spans="1:6" x14ac:dyDescent="0.3">
      <c r="A335" s="3">
        <v>334</v>
      </c>
      <c r="B335" s="4">
        <f t="shared" si="6"/>
        <v>0.44519230769230766</v>
      </c>
      <c r="C335" s="5">
        <v>104</v>
      </c>
      <c r="D335" s="5">
        <v>46.3</v>
      </c>
      <c r="E335" s="3" t="s">
        <v>11</v>
      </c>
      <c r="F335" s="6">
        <v>46101.506944444453</v>
      </c>
    </row>
    <row r="336" spans="1:6" x14ac:dyDescent="0.3">
      <c r="A336" s="3">
        <v>335</v>
      </c>
      <c r="B336" s="4">
        <f t="shared" si="6"/>
        <v>0.44570707070707066</v>
      </c>
      <c r="C336" s="5">
        <v>158.4</v>
      </c>
      <c r="D336" s="5">
        <v>70.599999999999994</v>
      </c>
      <c r="E336" s="3" t="s">
        <v>7</v>
      </c>
      <c r="F336" s="6">
        <v>44939.23541666667</v>
      </c>
    </row>
    <row r="337" spans="1:6" x14ac:dyDescent="0.3">
      <c r="A337" s="3">
        <v>336</v>
      </c>
      <c r="B337" s="4">
        <f t="shared" si="6"/>
        <v>0.4457662701189643</v>
      </c>
      <c r="C337" s="5">
        <v>142.9</v>
      </c>
      <c r="D337" s="5">
        <v>63.7</v>
      </c>
      <c r="E337" s="3" t="s">
        <v>7</v>
      </c>
      <c r="F337" s="6">
        <v>44826.415972222218</v>
      </c>
    </row>
    <row r="338" spans="1:6" x14ac:dyDescent="0.3">
      <c r="A338" s="3">
        <v>337</v>
      </c>
      <c r="B338" s="4">
        <f t="shared" si="6"/>
        <v>0.44603709949409781</v>
      </c>
      <c r="C338" s="5">
        <v>118.6</v>
      </c>
      <c r="D338" s="5">
        <v>52.9</v>
      </c>
      <c r="E338" s="3" t="s">
        <v>7</v>
      </c>
      <c r="F338" s="6">
        <v>45526.747916666667</v>
      </c>
    </row>
    <row r="339" spans="1:6" x14ac:dyDescent="0.3">
      <c r="A339" s="3">
        <v>338</v>
      </c>
      <c r="B339" s="4">
        <f t="shared" si="6"/>
        <v>0.44660194174757284</v>
      </c>
      <c r="C339" s="5">
        <v>113.3</v>
      </c>
      <c r="D339" s="5">
        <v>50.6</v>
      </c>
      <c r="E339" s="3" t="s">
        <v>11</v>
      </c>
      <c r="F339" s="6">
        <v>44924.414583333331</v>
      </c>
    </row>
    <row r="340" spans="1:6" x14ac:dyDescent="0.3">
      <c r="A340" s="3">
        <v>339</v>
      </c>
      <c r="B340" s="4">
        <f t="shared" si="6"/>
        <v>0.44680851063829785</v>
      </c>
      <c r="C340" s="5">
        <v>84.6</v>
      </c>
      <c r="D340" s="5">
        <v>37.799999999999997</v>
      </c>
      <c r="E340" s="3" t="s">
        <v>7</v>
      </c>
      <c r="F340" s="6">
        <v>45230.158333333333</v>
      </c>
    </row>
    <row r="341" spans="1:6" x14ac:dyDescent="0.3">
      <c r="A341" s="3">
        <v>340</v>
      </c>
      <c r="B341" s="4">
        <f t="shared" si="6"/>
        <v>0.44734693877551018</v>
      </c>
      <c r="C341" s="5">
        <v>122.5</v>
      </c>
      <c r="D341" s="5">
        <v>54.8</v>
      </c>
      <c r="E341" s="3" t="s">
        <v>7</v>
      </c>
      <c r="F341" s="6">
        <v>44965.634027777778</v>
      </c>
    </row>
    <row r="342" spans="1:6" x14ac:dyDescent="0.3">
      <c r="A342" s="3">
        <v>341</v>
      </c>
      <c r="B342" s="4">
        <f t="shared" si="6"/>
        <v>0.44769403824521931</v>
      </c>
      <c r="C342" s="5">
        <v>88.9</v>
      </c>
      <c r="D342" s="5">
        <v>39.799999999999997</v>
      </c>
      <c r="E342" s="3" t="s">
        <v>11</v>
      </c>
      <c r="F342" s="6">
        <v>45502.038194444453</v>
      </c>
    </row>
    <row r="343" spans="1:6" x14ac:dyDescent="0.3">
      <c r="A343" s="3">
        <v>342</v>
      </c>
      <c r="B343" s="4">
        <f t="shared" si="6"/>
        <v>0.44787644787644781</v>
      </c>
      <c r="C343" s="5">
        <v>77.7</v>
      </c>
      <c r="D343" s="5">
        <v>34.799999999999997</v>
      </c>
      <c r="E343" s="3" t="s">
        <v>7</v>
      </c>
      <c r="F343" s="6">
        <v>44552.253472222219</v>
      </c>
    </row>
    <row r="344" spans="1:6" x14ac:dyDescent="0.3">
      <c r="A344" s="3">
        <v>343</v>
      </c>
      <c r="B344" s="4">
        <f t="shared" si="6"/>
        <v>0.4483892176199869</v>
      </c>
      <c r="C344" s="5">
        <v>152.1</v>
      </c>
      <c r="D344" s="5">
        <v>68.2</v>
      </c>
      <c r="E344" s="3" t="s">
        <v>11</v>
      </c>
      <c r="F344" s="6">
        <v>45567.355555555558</v>
      </c>
    </row>
    <row r="345" spans="1:6" x14ac:dyDescent="0.3">
      <c r="A345" s="3">
        <v>344</v>
      </c>
      <c r="B345" s="4">
        <f t="shared" si="6"/>
        <v>0.44961896697713805</v>
      </c>
      <c r="C345" s="5">
        <v>118.1</v>
      </c>
      <c r="D345" s="5">
        <v>53.1</v>
      </c>
      <c r="E345" s="3" t="s">
        <v>11</v>
      </c>
      <c r="F345" s="6">
        <v>45618.456250000003</v>
      </c>
    </row>
    <row r="346" spans="1:6" x14ac:dyDescent="0.3">
      <c r="A346" s="3">
        <v>345</v>
      </c>
      <c r="B346" s="4">
        <f t="shared" si="6"/>
        <v>0.44985673352435529</v>
      </c>
      <c r="C346" s="5">
        <v>69.8</v>
      </c>
      <c r="D346" s="5">
        <v>31.4</v>
      </c>
      <c r="E346" s="3" t="s">
        <v>7</v>
      </c>
      <c r="F346" s="6">
        <v>45474.52847222222</v>
      </c>
    </row>
    <row r="347" spans="1:6" x14ac:dyDescent="0.3">
      <c r="A347" s="3">
        <v>346</v>
      </c>
      <c r="B347" s="4">
        <f t="shared" si="6"/>
        <v>0.45112781954887216</v>
      </c>
      <c r="C347" s="5">
        <v>119.7</v>
      </c>
      <c r="D347" s="5">
        <v>54</v>
      </c>
      <c r="E347" s="3" t="s">
        <v>7</v>
      </c>
      <c r="F347" s="6">
        <v>44902.6875</v>
      </c>
    </row>
    <row r="348" spans="1:6" x14ac:dyDescent="0.3">
      <c r="A348" s="3">
        <v>347</v>
      </c>
      <c r="B348" s="4">
        <f t="shared" si="6"/>
        <v>0.45177045177045172</v>
      </c>
      <c r="C348" s="5">
        <v>81.900000000000006</v>
      </c>
      <c r="D348" s="5">
        <v>37</v>
      </c>
      <c r="E348" s="3" t="s">
        <v>11</v>
      </c>
      <c r="F348" s="6">
        <v>45951.667361111111</v>
      </c>
    </row>
    <row r="349" spans="1:6" x14ac:dyDescent="0.3">
      <c r="A349" s="3">
        <v>348</v>
      </c>
      <c r="B349" s="4">
        <f t="shared" si="6"/>
        <v>0.45192307692307698</v>
      </c>
      <c r="C349" s="5">
        <v>135.19999999999999</v>
      </c>
      <c r="D349" s="5">
        <v>61.1</v>
      </c>
      <c r="E349" s="3" t="s">
        <v>11</v>
      </c>
      <c r="F349" s="6">
        <v>44827.414583333331</v>
      </c>
    </row>
    <row r="350" spans="1:6" x14ac:dyDescent="0.3">
      <c r="A350" s="3">
        <v>349</v>
      </c>
      <c r="B350" s="4">
        <f t="shared" si="6"/>
        <v>0.45195195195195204</v>
      </c>
      <c r="C350" s="5">
        <v>66.599999999999994</v>
      </c>
      <c r="D350" s="5">
        <v>30.1</v>
      </c>
      <c r="E350" s="3" t="s">
        <v>7</v>
      </c>
      <c r="F350" s="6">
        <v>45856.252083333333</v>
      </c>
    </row>
    <row r="351" spans="1:6" x14ac:dyDescent="0.3">
      <c r="A351" s="3">
        <v>350</v>
      </c>
      <c r="B351" s="4">
        <f t="shared" si="6"/>
        <v>0.45196506550218341</v>
      </c>
      <c r="C351" s="5">
        <v>91.6</v>
      </c>
      <c r="D351" s="5">
        <v>41.4</v>
      </c>
      <c r="E351" s="3" t="s">
        <v>7</v>
      </c>
      <c r="F351" s="6">
        <v>45222.413194444453</v>
      </c>
    </row>
    <row r="352" spans="1:6" x14ac:dyDescent="0.3">
      <c r="A352" s="3">
        <v>351</v>
      </c>
      <c r="B352" s="4">
        <f t="shared" si="6"/>
        <v>0.45276872964169385</v>
      </c>
      <c r="C352" s="5">
        <v>61.4</v>
      </c>
      <c r="D352" s="5">
        <v>27.8</v>
      </c>
      <c r="E352" s="3" t="s">
        <v>7</v>
      </c>
      <c r="F352" s="6">
        <v>44806.261111111111</v>
      </c>
    </row>
    <row r="353" spans="1:6" x14ac:dyDescent="0.3">
      <c r="A353" s="3">
        <v>352</v>
      </c>
      <c r="B353" s="4">
        <f t="shared" si="6"/>
        <v>0.45306122448979586</v>
      </c>
      <c r="C353" s="5">
        <v>73.5</v>
      </c>
      <c r="D353" s="5">
        <v>33.299999999999997</v>
      </c>
      <c r="E353" s="3" t="s">
        <v>11</v>
      </c>
      <c r="F353" s="6">
        <v>46094.05</v>
      </c>
    </row>
    <row r="354" spans="1:6" x14ac:dyDescent="0.3">
      <c r="A354" s="3">
        <v>353</v>
      </c>
      <c r="B354" s="4">
        <f t="shared" si="6"/>
        <v>0.45356371490280778</v>
      </c>
      <c r="C354" s="5">
        <v>92.6</v>
      </c>
      <c r="D354" s="5">
        <v>42</v>
      </c>
      <c r="E354" s="3" t="s">
        <v>11</v>
      </c>
      <c r="F354" s="6">
        <v>45854.279166666667</v>
      </c>
    </row>
    <row r="355" spans="1:6" x14ac:dyDescent="0.3">
      <c r="A355" s="3">
        <v>354</v>
      </c>
      <c r="B355" s="4">
        <f t="shared" si="6"/>
        <v>0.45446507515473034</v>
      </c>
      <c r="C355" s="5">
        <v>113.1</v>
      </c>
      <c r="D355" s="5">
        <v>51.4</v>
      </c>
      <c r="E355" s="3" t="s">
        <v>11</v>
      </c>
      <c r="F355" s="6">
        <v>45100.45416666667</v>
      </c>
    </row>
    <row r="356" spans="1:6" x14ac:dyDescent="0.3">
      <c r="A356" s="3">
        <v>355</v>
      </c>
      <c r="B356" s="4">
        <f t="shared" si="6"/>
        <v>0.45471877979027647</v>
      </c>
      <c r="C356" s="5">
        <v>209.8</v>
      </c>
      <c r="D356" s="5">
        <v>95.4</v>
      </c>
      <c r="E356" s="3" t="s">
        <v>7</v>
      </c>
      <c r="F356" s="6">
        <v>44995.820138888892</v>
      </c>
    </row>
    <row r="357" spans="1:6" x14ac:dyDescent="0.3">
      <c r="A357" s="3">
        <v>356</v>
      </c>
      <c r="B357" s="4">
        <f t="shared" si="6"/>
        <v>0.45525291828793774</v>
      </c>
      <c r="C357" s="5">
        <v>51.4</v>
      </c>
      <c r="D357" s="5">
        <v>23.4</v>
      </c>
      <c r="E357" s="3" t="s">
        <v>11</v>
      </c>
      <c r="F357" s="6">
        <v>45041.422222222223</v>
      </c>
    </row>
    <row r="358" spans="1:6" x14ac:dyDescent="0.3">
      <c r="A358" s="3">
        <v>357</v>
      </c>
      <c r="B358" s="4">
        <f t="shared" si="6"/>
        <v>0.4552912223133716</v>
      </c>
      <c r="C358" s="5">
        <v>121.9</v>
      </c>
      <c r="D358" s="5">
        <v>55.5</v>
      </c>
      <c r="E358" s="3" t="s">
        <v>7</v>
      </c>
      <c r="F358" s="6">
        <v>45527.698611111111</v>
      </c>
    </row>
    <row r="359" spans="1:6" x14ac:dyDescent="0.3">
      <c r="A359" s="3">
        <v>358</v>
      </c>
      <c r="B359" s="4">
        <f t="shared" si="6"/>
        <v>0.4554838709677419</v>
      </c>
      <c r="C359" s="5">
        <v>77.5</v>
      </c>
      <c r="D359" s="5">
        <v>35.299999999999997</v>
      </c>
      <c r="E359" s="3" t="s">
        <v>7</v>
      </c>
      <c r="F359" s="6">
        <v>45881.799305555563</v>
      </c>
    </row>
    <row r="360" spans="1:6" x14ac:dyDescent="0.3">
      <c r="A360" s="3">
        <v>359</v>
      </c>
      <c r="B360" s="4">
        <f t="shared" si="6"/>
        <v>0.45571955719557194</v>
      </c>
      <c r="C360" s="5">
        <v>54.2</v>
      </c>
      <c r="D360" s="5">
        <v>24.7</v>
      </c>
      <c r="E360" s="3" t="s">
        <v>7</v>
      </c>
      <c r="F360" s="6">
        <v>44452.793055555558</v>
      </c>
    </row>
    <row r="361" spans="1:6" x14ac:dyDescent="0.3">
      <c r="A361" s="3">
        <v>360</v>
      </c>
      <c r="B361" s="4">
        <f t="shared" si="6"/>
        <v>0.45589692765113971</v>
      </c>
      <c r="C361" s="5">
        <v>100.9</v>
      </c>
      <c r="D361" s="5">
        <v>46</v>
      </c>
      <c r="E361" s="3" t="s">
        <v>7</v>
      </c>
      <c r="F361" s="6">
        <v>45876.630555555559</v>
      </c>
    </row>
    <row r="362" spans="1:6" x14ac:dyDescent="0.3">
      <c r="A362" s="3">
        <v>361</v>
      </c>
      <c r="B362" s="4">
        <f t="shared" si="6"/>
        <v>0.45593419506462984</v>
      </c>
      <c r="C362" s="5">
        <v>85.1</v>
      </c>
      <c r="D362" s="5">
        <v>38.799999999999997</v>
      </c>
      <c r="E362" s="3" t="s">
        <v>7</v>
      </c>
      <c r="F362" s="6">
        <v>44887.311805555553</v>
      </c>
    </row>
    <row r="363" spans="1:6" x14ac:dyDescent="0.3">
      <c r="A363" s="3">
        <v>362</v>
      </c>
      <c r="B363" s="4">
        <f t="shared" si="6"/>
        <v>0.45603271983640087</v>
      </c>
      <c r="C363" s="5">
        <v>146.69999999999999</v>
      </c>
      <c r="D363" s="5">
        <v>66.900000000000006</v>
      </c>
      <c r="E363" s="3" t="s">
        <v>7</v>
      </c>
      <c r="F363" s="6">
        <v>44483.834027777782</v>
      </c>
    </row>
    <row r="364" spans="1:6" x14ac:dyDescent="0.3">
      <c r="A364" s="3">
        <v>363</v>
      </c>
      <c r="B364" s="4">
        <f t="shared" si="6"/>
        <v>0.45639534883720928</v>
      </c>
      <c r="C364" s="5">
        <v>68.8</v>
      </c>
      <c r="D364" s="5">
        <v>31.4</v>
      </c>
      <c r="E364" s="3" t="s">
        <v>11</v>
      </c>
      <c r="F364" s="6">
        <v>44579.336805555547</v>
      </c>
    </row>
    <row r="365" spans="1:6" x14ac:dyDescent="0.3">
      <c r="A365" s="3">
        <v>364</v>
      </c>
      <c r="B365" s="4">
        <f t="shared" si="6"/>
        <v>0.45667447306791564</v>
      </c>
      <c r="C365" s="5">
        <v>85.4</v>
      </c>
      <c r="D365" s="5">
        <v>39</v>
      </c>
      <c r="E365" s="3" t="s">
        <v>11</v>
      </c>
      <c r="F365" s="6">
        <v>45608.474999999999</v>
      </c>
    </row>
    <row r="366" spans="1:6" x14ac:dyDescent="0.3">
      <c r="A366" s="3">
        <v>365</v>
      </c>
      <c r="B366" s="4">
        <f t="shared" si="6"/>
        <v>0.4567126725219573</v>
      </c>
      <c r="C366" s="5">
        <v>79.7</v>
      </c>
      <c r="D366" s="5">
        <v>36.4</v>
      </c>
      <c r="E366" s="3" t="s">
        <v>7</v>
      </c>
      <c r="F366" s="6">
        <v>45663.459722222222</v>
      </c>
    </row>
    <row r="367" spans="1:6" x14ac:dyDescent="0.3">
      <c r="A367" s="3">
        <v>366</v>
      </c>
      <c r="B367" s="4">
        <f t="shared" si="6"/>
        <v>0.45673505798394298</v>
      </c>
      <c r="C367" s="5">
        <v>112.1</v>
      </c>
      <c r="D367" s="5">
        <v>51.2</v>
      </c>
      <c r="E367" s="3" t="s">
        <v>7</v>
      </c>
      <c r="F367" s="6">
        <v>46083.584722222222</v>
      </c>
    </row>
    <row r="368" spans="1:6" x14ac:dyDescent="0.3">
      <c r="A368" s="3">
        <v>367</v>
      </c>
      <c r="B368" s="4">
        <f t="shared" si="6"/>
        <v>0.45691906005221927</v>
      </c>
      <c r="C368" s="5">
        <v>114.9</v>
      </c>
      <c r="D368" s="5">
        <v>52.5</v>
      </c>
      <c r="E368" s="3" t="s">
        <v>11</v>
      </c>
      <c r="F368" s="6">
        <v>44606.532638888893</v>
      </c>
    </row>
    <row r="369" spans="1:6" x14ac:dyDescent="0.3">
      <c r="A369" s="3">
        <v>368</v>
      </c>
      <c r="B369" s="4">
        <f t="shared" si="6"/>
        <v>0.45714285714285713</v>
      </c>
      <c r="C369" s="5">
        <v>98</v>
      </c>
      <c r="D369" s="5">
        <v>44.8</v>
      </c>
      <c r="E369" s="3" t="s">
        <v>7</v>
      </c>
      <c r="F369" s="6">
        <v>45743.59375</v>
      </c>
    </row>
    <row r="370" spans="1:6" x14ac:dyDescent="0.3">
      <c r="A370" s="3">
        <v>369</v>
      </c>
      <c r="B370" s="4">
        <f t="shared" si="6"/>
        <v>0.45732130464954895</v>
      </c>
      <c r="C370" s="5">
        <v>144.1</v>
      </c>
      <c r="D370" s="5">
        <v>65.900000000000006</v>
      </c>
      <c r="E370" s="3" t="s">
        <v>7</v>
      </c>
      <c r="F370" s="6">
        <v>46205.511805555558</v>
      </c>
    </row>
    <row r="371" spans="1:6" x14ac:dyDescent="0.3">
      <c r="A371" s="3">
        <v>370</v>
      </c>
      <c r="B371" s="4">
        <f t="shared" si="6"/>
        <v>0.45732484076433122</v>
      </c>
      <c r="C371" s="5">
        <v>157</v>
      </c>
      <c r="D371" s="5">
        <v>71.8</v>
      </c>
      <c r="E371" s="3" t="s">
        <v>11</v>
      </c>
      <c r="F371" s="6">
        <v>44882.501388888893</v>
      </c>
    </row>
    <row r="372" spans="1:6" x14ac:dyDescent="0.3">
      <c r="A372" s="3">
        <v>371</v>
      </c>
      <c r="B372" s="4">
        <f t="shared" si="6"/>
        <v>0.45752427184466021</v>
      </c>
      <c r="C372" s="5">
        <v>164.8</v>
      </c>
      <c r="D372" s="5">
        <v>75.400000000000006</v>
      </c>
      <c r="E372" s="3" t="s">
        <v>7</v>
      </c>
      <c r="F372" s="6">
        <v>44837.682638888888</v>
      </c>
    </row>
    <row r="373" spans="1:6" x14ac:dyDescent="0.3">
      <c r="A373" s="3">
        <v>372</v>
      </c>
      <c r="B373" s="4">
        <f t="shared" si="6"/>
        <v>0.45799999999999996</v>
      </c>
      <c r="C373" s="5">
        <v>50</v>
      </c>
      <c r="D373" s="5">
        <v>22.9</v>
      </c>
      <c r="E373" s="3" t="s">
        <v>7</v>
      </c>
      <c r="F373" s="6">
        <v>45301.615277777782</v>
      </c>
    </row>
    <row r="374" spans="1:6" x14ac:dyDescent="0.3">
      <c r="A374" s="3">
        <v>373</v>
      </c>
      <c r="B374" s="4">
        <f t="shared" si="6"/>
        <v>0.45871559633027525</v>
      </c>
      <c r="C374" s="5">
        <v>109</v>
      </c>
      <c r="D374" s="5">
        <v>50</v>
      </c>
      <c r="E374" s="3" t="s">
        <v>7</v>
      </c>
      <c r="F374" s="6">
        <v>46185.318749999999</v>
      </c>
    </row>
    <row r="375" spans="1:6" x14ac:dyDescent="0.3">
      <c r="A375" s="3">
        <v>374</v>
      </c>
      <c r="B375" s="4">
        <f t="shared" si="6"/>
        <v>0.45892116182572612</v>
      </c>
      <c r="C375" s="5">
        <v>120.5</v>
      </c>
      <c r="D375" s="5">
        <v>55.3</v>
      </c>
      <c r="E375" s="3" t="s">
        <v>11</v>
      </c>
      <c r="F375" s="6">
        <v>45581.518750000003</v>
      </c>
    </row>
    <row r="376" spans="1:6" x14ac:dyDescent="0.3">
      <c r="A376" s="3">
        <v>375</v>
      </c>
      <c r="B376" s="4">
        <f t="shared" si="6"/>
        <v>0.46031746031746035</v>
      </c>
      <c r="C376" s="5">
        <v>81.900000000000006</v>
      </c>
      <c r="D376" s="5">
        <v>37.700000000000003</v>
      </c>
      <c r="E376" s="3" t="s">
        <v>7</v>
      </c>
      <c r="F376" s="6">
        <v>46160.457638888889</v>
      </c>
    </row>
    <row r="377" spans="1:6" x14ac:dyDescent="0.3">
      <c r="A377" s="3">
        <v>376</v>
      </c>
      <c r="B377" s="4">
        <f t="shared" si="6"/>
        <v>0.46035805626598464</v>
      </c>
      <c r="C377" s="5">
        <v>117.3</v>
      </c>
      <c r="D377" s="5">
        <v>54</v>
      </c>
      <c r="E377" s="3" t="s">
        <v>11</v>
      </c>
      <c r="F377" s="6">
        <v>44942.44027777778</v>
      </c>
    </row>
    <row r="378" spans="1:6" x14ac:dyDescent="0.3">
      <c r="A378" s="3">
        <v>377</v>
      </c>
      <c r="B378" s="4">
        <f t="shared" si="6"/>
        <v>0.46122994652406418</v>
      </c>
      <c r="C378" s="5">
        <v>149.6</v>
      </c>
      <c r="D378" s="5">
        <v>69</v>
      </c>
      <c r="E378" s="3" t="s">
        <v>7</v>
      </c>
      <c r="F378" s="6">
        <v>44832.554861111108</v>
      </c>
    </row>
    <row r="379" spans="1:6" x14ac:dyDescent="0.3">
      <c r="A379" s="3">
        <v>378</v>
      </c>
      <c r="B379" s="4">
        <f t="shared" si="6"/>
        <v>0.46139705882352944</v>
      </c>
      <c r="C379" s="5">
        <v>108.8</v>
      </c>
      <c r="D379" s="5">
        <v>50.2</v>
      </c>
      <c r="E379" s="3" t="s">
        <v>7</v>
      </c>
      <c r="F379" s="6">
        <v>46212.536805555559</v>
      </c>
    </row>
    <row r="380" spans="1:6" x14ac:dyDescent="0.3">
      <c r="A380" s="3">
        <v>379</v>
      </c>
      <c r="B380" s="4">
        <f t="shared" si="6"/>
        <v>0.46223958333333337</v>
      </c>
      <c r="C380" s="5">
        <v>76.8</v>
      </c>
      <c r="D380" s="5">
        <v>35.5</v>
      </c>
      <c r="E380" s="3" t="s">
        <v>7</v>
      </c>
      <c r="F380" s="6">
        <v>45762.027083333327</v>
      </c>
    </row>
    <row r="381" spans="1:6" x14ac:dyDescent="0.3">
      <c r="A381" s="3">
        <v>380</v>
      </c>
      <c r="B381" s="4">
        <f t="shared" si="6"/>
        <v>0.46236559139784944</v>
      </c>
      <c r="C381" s="5">
        <v>102.3</v>
      </c>
      <c r="D381" s="5">
        <v>47.3</v>
      </c>
      <c r="E381" s="3" t="s">
        <v>7</v>
      </c>
      <c r="F381" s="6">
        <v>45681.508333333331</v>
      </c>
    </row>
    <row r="382" spans="1:6" x14ac:dyDescent="0.3">
      <c r="A382" s="3">
        <v>381</v>
      </c>
      <c r="B382" s="4">
        <f t="shared" si="6"/>
        <v>0.46250000000000002</v>
      </c>
      <c r="C382" s="5">
        <v>64</v>
      </c>
      <c r="D382" s="5">
        <v>29.6</v>
      </c>
      <c r="E382" s="3" t="s">
        <v>11</v>
      </c>
      <c r="F382" s="6">
        <v>45128.415277777778</v>
      </c>
    </row>
    <row r="383" spans="1:6" x14ac:dyDescent="0.3">
      <c r="A383" s="3">
        <v>382</v>
      </c>
      <c r="B383" s="4">
        <f t="shared" si="6"/>
        <v>0.46286472148541108</v>
      </c>
      <c r="C383" s="5">
        <v>75.400000000000006</v>
      </c>
      <c r="D383" s="5">
        <v>34.9</v>
      </c>
      <c r="E383" s="3" t="s">
        <v>11</v>
      </c>
      <c r="F383" s="6">
        <v>44797.308333333327</v>
      </c>
    </row>
    <row r="384" spans="1:6" x14ac:dyDescent="0.3">
      <c r="A384" s="3">
        <v>383</v>
      </c>
      <c r="B384" s="4">
        <f t="shared" si="6"/>
        <v>0.46286701208981001</v>
      </c>
      <c r="C384" s="5">
        <v>115.8</v>
      </c>
      <c r="D384" s="5">
        <v>53.6</v>
      </c>
      <c r="E384" s="3" t="s">
        <v>11</v>
      </c>
      <c r="F384" s="6">
        <v>44839.368055555547</v>
      </c>
    </row>
    <row r="385" spans="1:6" x14ac:dyDescent="0.3">
      <c r="A385" s="3">
        <v>384</v>
      </c>
      <c r="B385" s="4">
        <f t="shared" si="6"/>
        <v>0.46314102564102561</v>
      </c>
      <c r="C385" s="5">
        <v>62.4</v>
      </c>
      <c r="D385" s="5">
        <v>28.9</v>
      </c>
      <c r="E385" s="3" t="s">
        <v>7</v>
      </c>
      <c r="F385" s="6">
        <v>44679.883333333331</v>
      </c>
    </row>
    <row r="386" spans="1:6" x14ac:dyDescent="0.3">
      <c r="A386" s="3">
        <v>385</v>
      </c>
      <c r="B386" s="4">
        <f t="shared" ref="B386:B449" si="7">D386/C386</f>
        <v>0.46351931330472101</v>
      </c>
      <c r="C386" s="5">
        <v>116.5</v>
      </c>
      <c r="D386" s="5">
        <v>54</v>
      </c>
      <c r="E386" s="3" t="s">
        <v>11</v>
      </c>
      <c r="F386" s="6">
        <v>45831.291666666657</v>
      </c>
    </row>
    <row r="387" spans="1:6" x14ac:dyDescent="0.3">
      <c r="A387" s="3">
        <v>386</v>
      </c>
      <c r="B387" s="4">
        <f t="shared" si="7"/>
        <v>0.46370235934664245</v>
      </c>
      <c r="C387" s="5">
        <v>110.2</v>
      </c>
      <c r="D387" s="5">
        <v>51.1</v>
      </c>
      <c r="E387" s="3" t="s">
        <v>7</v>
      </c>
      <c r="F387" s="6">
        <v>44778.453472222223</v>
      </c>
    </row>
    <row r="388" spans="1:6" x14ac:dyDescent="0.3">
      <c r="A388" s="3">
        <v>387</v>
      </c>
      <c r="B388" s="4">
        <f t="shared" si="7"/>
        <v>0.46458333333333335</v>
      </c>
      <c r="C388" s="5">
        <v>144</v>
      </c>
      <c r="D388" s="5">
        <v>66.900000000000006</v>
      </c>
      <c r="E388" s="3" t="s">
        <v>7</v>
      </c>
      <c r="F388" s="6">
        <v>44978.614583333343</v>
      </c>
    </row>
    <row r="389" spans="1:6" x14ac:dyDescent="0.3">
      <c r="A389" s="3">
        <v>388</v>
      </c>
      <c r="B389" s="4">
        <f t="shared" si="7"/>
        <v>0.46506428172163222</v>
      </c>
      <c r="C389" s="5">
        <v>178.9</v>
      </c>
      <c r="D389" s="5">
        <v>83.2</v>
      </c>
      <c r="E389" s="3" t="s">
        <v>11</v>
      </c>
      <c r="F389" s="6">
        <v>44894.200694444437</v>
      </c>
    </row>
    <row r="390" spans="1:6" x14ac:dyDescent="0.3">
      <c r="A390" s="3">
        <v>389</v>
      </c>
      <c r="B390" s="4">
        <f t="shared" si="7"/>
        <v>0.46567717996289426</v>
      </c>
      <c r="C390" s="5">
        <v>53.9</v>
      </c>
      <c r="D390" s="5">
        <v>25.1</v>
      </c>
      <c r="E390" s="3" t="s">
        <v>7</v>
      </c>
      <c r="F390" s="6">
        <v>46042.029166666667</v>
      </c>
    </row>
    <row r="391" spans="1:6" x14ac:dyDescent="0.3">
      <c r="A391" s="3">
        <v>390</v>
      </c>
      <c r="B391" s="4">
        <f t="shared" si="7"/>
        <v>0.46575342465753422</v>
      </c>
      <c r="C391" s="5">
        <v>51.1</v>
      </c>
      <c r="D391" s="5">
        <v>23.8</v>
      </c>
      <c r="E391" s="3" t="s">
        <v>11</v>
      </c>
      <c r="F391" s="6">
        <v>44778.515972222223</v>
      </c>
    </row>
    <row r="392" spans="1:6" x14ac:dyDescent="0.3">
      <c r="A392" s="3">
        <v>391</v>
      </c>
      <c r="B392" s="4">
        <f t="shared" si="7"/>
        <v>0.46580406654343803</v>
      </c>
      <c r="C392" s="5">
        <v>54.1</v>
      </c>
      <c r="D392" s="5">
        <v>25.2</v>
      </c>
      <c r="E392" s="3" t="s">
        <v>11</v>
      </c>
      <c r="F392" s="6">
        <v>45441.306250000001</v>
      </c>
    </row>
    <row r="393" spans="1:6" x14ac:dyDescent="0.3">
      <c r="A393" s="3">
        <v>392</v>
      </c>
      <c r="B393" s="4">
        <f t="shared" si="7"/>
        <v>0.46622264509990485</v>
      </c>
      <c r="C393" s="5">
        <v>105.1</v>
      </c>
      <c r="D393" s="5">
        <v>49</v>
      </c>
      <c r="E393" s="3" t="s">
        <v>7</v>
      </c>
      <c r="F393" s="6">
        <v>45250.480555555558</v>
      </c>
    </row>
    <row r="394" spans="1:6" x14ac:dyDescent="0.3">
      <c r="A394" s="3">
        <v>393</v>
      </c>
      <c r="B394" s="4">
        <f t="shared" si="7"/>
        <v>0.46657571623465216</v>
      </c>
      <c r="C394" s="5">
        <v>73.3</v>
      </c>
      <c r="D394" s="5">
        <v>34.200000000000003</v>
      </c>
      <c r="E394" s="3" t="s">
        <v>11</v>
      </c>
      <c r="F394" s="6">
        <v>45057.053472222222</v>
      </c>
    </row>
    <row r="395" spans="1:6" x14ac:dyDescent="0.3">
      <c r="A395" s="3">
        <v>394</v>
      </c>
      <c r="B395" s="4">
        <f t="shared" si="7"/>
        <v>0.46756032171581768</v>
      </c>
      <c r="C395" s="5">
        <v>186.5</v>
      </c>
      <c r="D395" s="5">
        <v>87.2</v>
      </c>
      <c r="E395" s="3" t="s">
        <v>7</v>
      </c>
      <c r="F395" s="6">
        <v>44701.09097222222</v>
      </c>
    </row>
    <row r="396" spans="1:6" x14ac:dyDescent="0.3">
      <c r="A396" s="3">
        <v>395</v>
      </c>
      <c r="B396" s="4">
        <f t="shared" si="7"/>
        <v>0.46824542518837459</v>
      </c>
      <c r="C396" s="5">
        <v>92.9</v>
      </c>
      <c r="D396" s="5">
        <v>43.5</v>
      </c>
      <c r="E396" s="3" t="s">
        <v>7</v>
      </c>
      <c r="F396" s="6">
        <v>44629.568055555559</v>
      </c>
    </row>
    <row r="397" spans="1:6" x14ac:dyDescent="0.3">
      <c r="A397" s="3">
        <v>396</v>
      </c>
      <c r="B397" s="4">
        <f t="shared" si="7"/>
        <v>0.46825396825396826</v>
      </c>
      <c r="C397" s="5">
        <v>113.4</v>
      </c>
      <c r="D397" s="5">
        <v>53.1</v>
      </c>
      <c r="E397" s="3" t="s">
        <v>7</v>
      </c>
      <c r="F397" s="6">
        <v>44834.602777777778</v>
      </c>
    </row>
    <row r="398" spans="1:6" x14ac:dyDescent="0.3">
      <c r="A398" s="3">
        <v>397</v>
      </c>
      <c r="B398" s="4">
        <f t="shared" si="7"/>
        <v>0.46907817969661614</v>
      </c>
      <c r="C398" s="5">
        <v>85.7</v>
      </c>
      <c r="D398" s="5">
        <v>40.200000000000003</v>
      </c>
      <c r="E398" s="3" t="s">
        <v>11</v>
      </c>
      <c r="F398" s="6">
        <v>44980.275000000001</v>
      </c>
    </row>
    <row r="399" spans="1:6" x14ac:dyDescent="0.3">
      <c r="A399" s="3">
        <v>398</v>
      </c>
      <c r="B399" s="4">
        <f t="shared" si="7"/>
        <v>0.46995029371893354</v>
      </c>
      <c r="C399" s="5">
        <v>221.3</v>
      </c>
      <c r="D399" s="5">
        <v>104</v>
      </c>
      <c r="E399" s="3" t="s">
        <v>7</v>
      </c>
      <c r="F399" s="6">
        <v>46101.424305555563</v>
      </c>
    </row>
    <row r="400" spans="1:6" x14ac:dyDescent="0.3">
      <c r="A400" s="3">
        <v>399</v>
      </c>
      <c r="B400" s="4">
        <f t="shared" si="7"/>
        <v>0.47013188518231186</v>
      </c>
      <c r="C400" s="5">
        <v>128.9</v>
      </c>
      <c r="D400" s="5">
        <v>60.6</v>
      </c>
      <c r="E400" s="3" t="s">
        <v>7</v>
      </c>
      <c r="F400" s="6">
        <v>44810.347916666673</v>
      </c>
    </row>
    <row r="401" spans="1:6" x14ac:dyDescent="0.3">
      <c r="A401" s="3">
        <v>400</v>
      </c>
      <c r="B401" s="4">
        <f t="shared" si="7"/>
        <v>0.47013977128335449</v>
      </c>
      <c r="C401" s="5">
        <v>78.7</v>
      </c>
      <c r="D401" s="5">
        <v>37</v>
      </c>
      <c r="E401" s="3" t="s">
        <v>7</v>
      </c>
      <c r="F401" s="6">
        <v>44565.793055555558</v>
      </c>
    </row>
    <row r="402" spans="1:6" x14ac:dyDescent="0.3">
      <c r="A402" s="3">
        <v>401</v>
      </c>
      <c r="B402" s="4">
        <f t="shared" si="7"/>
        <v>0.47016129032258064</v>
      </c>
      <c r="C402" s="5">
        <v>124</v>
      </c>
      <c r="D402" s="5">
        <v>58.3</v>
      </c>
      <c r="E402" s="3" t="s">
        <v>11</v>
      </c>
      <c r="F402" s="6">
        <v>45140.740277777782</v>
      </c>
    </row>
    <row r="403" spans="1:6" x14ac:dyDescent="0.3">
      <c r="A403" s="3">
        <v>402</v>
      </c>
      <c r="B403" s="4">
        <f t="shared" si="7"/>
        <v>0.4705111402359109</v>
      </c>
      <c r="C403" s="5">
        <v>76.3</v>
      </c>
      <c r="D403" s="5">
        <v>35.9</v>
      </c>
      <c r="E403" s="3" t="s">
        <v>7</v>
      </c>
      <c r="F403" s="6">
        <v>45168.225694444453</v>
      </c>
    </row>
    <row r="404" spans="1:6" x14ac:dyDescent="0.3">
      <c r="A404" s="3">
        <v>403</v>
      </c>
      <c r="B404" s="4">
        <f t="shared" si="7"/>
        <v>0.47058823529411764</v>
      </c>
      <c r="C404" s="5">
        <v>79.900000000000006</v>
      </c>
      <c r="D404" s="5">
        <v>37.6</v>
      </c>
      <c r="E404" s="3" t="s">
        <v>7</v>
      </c>
      <c r="F404" s="6">
        <v>44834.859722222223</v>
      </c>
    </row>
    <row r="405" spans="1:6" x14ac:dyDescent="0.3">
      <c r="A405" s="3">
        <v>404</v>
      </c>
      <c r="B405" s="4">
        <f t="shared" si="7"/>
        <v>0.47072419106317409</v>
      </c>
      <c r="C405" s="5">
        <v>129.80000000000001</v>
      </c>
      <c r="D405" s="5">
        <v>61.1</v>
      </c>
      <c r="E405" s="3" t="s">
        <v>7</v>
      </c>
      <c r="F405" s="6">
        <v>44839.879166666673</v>
      </c>
    </row>
    <row r="406" spans="1:6" x14ac:dyDescent="0.3">
      <c r="A406" s="3">
        <v>405</v>
      </c>
      <c r="B406" s="4">
        <f t="shared" si="7"/>
        <v>0.47080561714708052</v>
      </c>
      <c r="C406" s="5">
        <v>135.30000000000001</v>
      </c>
      <c r="D406" s="5">
        <v>63.7</v>
      </c>
      <c r="E406" s="3" t="s">
        <v>7</v>
      </c>
      <c r="F406" s="6">
        <v>44854.583333333343</v>
      </c>
    </row>
    <row r="407" spans="1:6" x14ac:dyDescent="0.3">
      <c r="A407" s="3">
        <v>406</v>
      </c>
      <c r="B407" s="4">
        <f t="shared" si="7"/>
        <v>0.47093023255813954</v>
      </c>
      <c r="C407" s="5">
        <v>68.8</v>
      </c>
      <c r="D407" s="5">
        <v>32.4</v>
      </c>
      <c r="E407" s="3" t="s">
        <v>7</v>
      </c>
      <c r="F407" s="6">
        <v>45520.616666666669</v>
      </c>
    </row>
    <row r="408" spans="1:6" x14ac:dyDescent="0.3">
      <c r="A408" s="3">
        <v>407</v>
      </c>
      <c r="B408" s="4">
        <f t="shared" si="7"/>
        <v>0.47095959595959591</v>
      </c>
      <c r="C408" s="5">
        <v>79.2</v>
      </c>
      <c r="D408" s="5">
        <v>37.299999999999997</v>
      </c>
      <c r="E408" s="3" t="s">
        <v>7</v>
      </c>
      <c r="F408" s="6">
        <v>45985.659722222219</v>
      </c>
    </row>
    <row r="409" spans="1:6" x14ac:dyDescent="0.3">
      <c r="A409" s="3">
        <v>408</v>
      </c>
      <c r="B409" s="4">
        <f t="shared" si="7"/>
        <v>0.47150259067357519</v>
      </c>
      <c r="C409" s="5">
        <v>135.1</v>
      </c>
      <c r="D409" s="5">
        <v>63.7</v>
      </c>
      <c r="E409" s="3" t="s">
        <v>7</v>
      </c>
      <c r="F409" s="6">
        <v>44812.4</v>
      </c>
    </row>
    <row r="410" spans="1:6" x14ac:dyDescent="0.3">
      <c r="A410" s="3">
        <v>409</v>
      </c>
      <c r="B410" s="4">
        <f t="shared" si="7"/>
        <v>0.47176079734219267</v>
      </c>
      <c r="C410" s="5">
        <v>60.2</v>
      </c>
      <c r="D410" s="5">
        <v>28.4</v>
      </c>
      <c r="E410" s="3" t="s">
        <v>7</v>
      </c>
      <c r="F410" s="6">
        <v>45527.555555555547</v>
      </c>
    </row>
    <row r="411" spans="1:6" x14ac:dyDescent="0.3">
      <c r="A411" s="3">
        <v>410</v>
      </c>
      <c r="B411" s="4">
        <f t="shared" si="7"/>
        <v>0.4724857685009487</v>
      </c>
      <c r="C411" s="5">
        <v>52.7</v>
      </c>
      <c r="D411" s="5">
        <v>24.9</v>
      </c>
      <c r="E411" s="3" t="s">
        <v>7</v>
      </c>
      <c r="F411" s="6">
        <v>44888.957638888889</v>
      </c>
    </row>
    <row r="412" spans="1:6" x14ac:dyDescent="0.3">
      <c r="A412" s="3">
        <v>411</v>
      </c>
      <c r="B412" s="4">
        <f t="shared" si="7"/>
        <v>0.472596585804133</v>
      </c>
      <c r="C412" s="5">
        <v>111.3</v>
      </c>
      <c r="D412" s="5">
        <v>52.6</v>
      </c>
      <c r="E412" s="3" t="s">
        <v>7</v>
      </c>
      <c r="F412" s="6">
        <v>44846.794444444437</v>
      </c>
    </row>
    <row r="413" spans="1:6" x14ac:dyDescent="0.3">
      <c r="A413" s="3">
        <v>412</v>
      </c>
      <c r="B413" s="4">
        <f t="shared" si="7"/>
        <v>0.47335423197492166</v>
      </c>
      <c r="C413" s="5">
        <v>63.8</v>
      </c>
      <c r="D413" s="5">
        <v>30.2</v>
      </c>
      <c r="E413" s="3" t="s">
        <v>11</v>
      </c>
      <c r="F413" s="6">
        <v>45685.081944444442</v>
      </c>
    </row>
    <row r="414" spans="1:6" x14ac:dyDescent="0.3">
      <c r="A414" s="3">
        <v>413</v>
      </c>
      <c r="B414" s="4">
        <f t="shared" si="7"/>
        <v>0.47375</v>
      </c>
      <c r="C414" s="5">
        <v>80</v>
      </c>
      <c r="D414" s="5">
        <v>37.9</v>
      </c>
      <c r="E414" s="3" t="s">
        <v>7</v>
      </c>
      <c r="F414" s="6">
        <v>44593.540277777778</v>
      </c>
    </row>
    <row r="415" spans="1:6" x14ac:dyDescent="0.3">
      <c r="A415" s="3">
        <v>414</v>
      </c>
      <c r="B415" s="4">
        <f t="shared" si="7"/>
        <v>0.47473937449879711</v>
      </c>
      <c r="C415" s="5">
        <v>124.7</v>
      </c>
      <c r="D415" s="5">
        <v>59.2</v>
      </c>
      <c r="E415" s="3" t="s">
        <v>7</v>
      </c>
      <c r="F415" s="6">
        <v>45138.560416666667</v>
      </c>
    </row>
    <row r="416" spans="1:6" x14ac:dyDescent="0.3">
      <c r="A416" s="3">
        <v>415</v>
      </c>
      <c r="B416" s="4">
        <f t="shared" si="7"/>
        <v>0.47502116850127013</v>
      </c>
      <c r="C416" s="5">
        <v>118.1</v>
      </c>
      <c r="D416" s="5">
        <v>56.1</v>
      </c>
      <c r="E416" s="3" t="s">
        <v>7</v>
      </c>
      <c r="F416" s="6">
        <v>45006.37777777778</v>
      </c>
    </row>
    <row r="417" spans="1:6" x14ac:dyDescent="0.3">
      <c r="A417" s="3">
        <v>416</v>
      </c>
      <c r="B417" s="4">
        <f t="shared" si="7"/>
        <v>0.47503782148260215</v>
      </c>
      <c r="C417" s="5">
        <v>66.099999999999994</v>
      </c>
      <c r="D417" s="5">
        <v>31.4</v>
      </c>
      <c r="E417" s="3" t="s">
        <v>11</v>
      </c>
      <c r="F417" s="6">
        <v>46043.068055555559</v>
      </c>
    </row>
    <row r="418" spans="1:6" x14ac:dyDescent="0.3">
      <c r="A418" s="3">
        <v>417</v>
      </c>
      <c r="B418" s="4">
        <f t="shared" si="7"/>
        <v>0.47550432276657056</v>
      </c>
      <c r="C418" s="5">
        <v>138.80000000000001</v>
      </c>
      <c r="D418" s="5">
        <v>66</v>
      </c>
      <c r="E418" s="3" t="s">
        <v>11</v>
      </c>
      <c r="F418" s="6">
        <v>45666.393750000003</v>
      </c>
    </row>
    <row r="419" spans="1:6" x14ac:dyDescent="0.3">
      <c r="A419" s="3">
        <v>418</v>
      </c>
      <c r="B419" s="4">
        <f t="shared" si="7"/>
        <v>0.47556142668428009</v>
      </c>
      <c r="C419" s="5">
        <v>227.1</v>
      </c>
      <c r="D419" s="5">
        <v>108</v>
      </c>
      <c r="E419" s="3" t="s">
        <v>7</v>
      </c>
      <c r="F419" s="6">
        <v>44830.043749999997</v>
      </c>
    </row>
    <row r="420" spans="1:6" x14ac:dyDescent="0.3">
      <c r="A420" s="3">
        <v>419</v>
      </c>
      <c r="B420" s="4">
        <f t="shared" si="7"/>
        <v>0.47593097184377842</v>
      </c>
      <c r="C420" s="5">
        <v>110.1</v>
      </c>
      <c r="D420" s="5">
        <v>52.4</v>
      </c>
      <c r="E420" s="3" t="s">
        <v>11</v>
      </c>
      <c r="F420" s="6">
        <v>44923.3125</v>
      </c>
    </row>
    <row r="421" spans="1:6" x14ac:dyDescent="0.3">
      <c r="A421" s="3">
        <v>420</v>
      </c>
      <c r="B421" s="4">
        <f t="shared" si="7"/>
        <v>0.47627906976744189</v>
      </c>
      <c r="C421" s="5">
        <v>107.5</v>
      </c>
      <c r="D421" s="5">
        <v>51.2</v>
      </c>
      <c r="E421" s="3" t="s">
        <v>11</v>
      </c>
      <c r="F421" s="6">
        <v>44741.665972222218</v>
      </c>
    </row>
    <row r="422" spans="1:6" x14ac:dyDescent="0.3">
      <c r="A422" s="3">
        <v>421</v>
      </c>
      <c r="B422" s="4">
        <f t="shared" si="7"/>
        <v>0.47692307692307689</v>
      </c>
      <c r="C422" s="5">
        <v>136.5</v>
      </c>
      <c r="D422" s="5">
        <v>65.099999999999994</v>
      </c>
      <c r="E422" s="3" t="s">
        <v>7</v>
      </c>
      <c r="F422" s="6">
        <v>45597.854166666657</v>
      </c>
    </row>
    <row r="423" spans="1:6" x14ac:dyDescent="0.3">
      <c r="A423" s="3">
        <v>422</v>
      </c>
      <c r="B423" s="4">
        <f t="shared" si="7"/>
        <v>0.47703412073490814</v>
      </c>
      <c r="C423" s="5">
        <v>152.4</v>
      </c>
      <c r="D423" s="5">
        <v>72.7</v>
      </c>
      <c r="E423" s="3" t="s">
        <v>11</v>
      </c>
      <c r="F423" s="6">
        <v>45149.501388888893</v>
      </c>
    </row>
    <row r="424" spans="1:6" x14ac:dyDescent="0.3">
      <c r="A424" s="3">
        <v>423</v>
      </c>
      <c r="B424" s="4">
        <f t="shared" si="7"/>
        <v>0.47779751332149201</v>
      </c>
      <c r="C424" s="5">
        <v>112.6</v>
      </c>
      <c r="D424" s="5">
        <v>53.8</v>
      </c>
      <c r="E424" s="3" t="s">
        <v>7</v>
      </c>
      <c r="F424" s="6">
        <v>44949.321527777778</v>
      </c>
    </row>
    <row r="425" spans="1:6" x14ac:dyDescent="0.3">
      <c r="A425" s="3">
        <v>424</v>
      </c>
      <c r="B425" s="4">
        <f t="shared" si="7"/>
        <v>0.47796934865900381</v>
      </c>
      <c r="C425" s="5">
        <v>104.4</v>
      </c>
      <c r="D425" s="5">
        <v>49.9</v>
      </c>
      <c r="E425" s="3" t="s">
        <v>11</v>
      </c>
      <c r="F425" s="6">
        <v>44967.337500000001</v>
      </c>
    </row>
    <row r="426" spans="1:6" x14ac:dyDescent="0.3">
      <c r="A426" s="3">
        <v>425</v>
      </c>
      <c r="B426" s="4">
        <f t="shared" si="7"/>
        <v>0.47803163444639718</v>
      </c>
      <c r="C426" s="5">
        <v>113.8</v>
      </c>
      <c r="D426" s="5">
        <v>54.4</v>
      </c>
      <c r="E426" s="3" t="s">
        <v>7</v>
      </c>
      <c r="F426" s="6">
        <v>46233.272916666669</v>
      </c>
    </row>
    <row r="427" spans="1:6" x14ac:dyDescent="0.3">
      <c r="A427" s="3">
        <v>426</v>
      </c>
      <c r="B427" s="4">
        <f t="shared" si="7"/>
        <v>0.47868453105968334</v>
      </c>
      <c r="C427" s="5">
        <v>82.1</v>
      </c>
      <c r="D427" s="5">
        <v>39.299999999999997</v>
      </c>
      <c r="E427" s="3" t="s">
        <v>7</v>
      </c>
      <c r="F427" s="6">
        <v>45433.543055555558</v>
      </c>
    </row>
    <row r="428" spans="1:6" x14ac:dyDescent="0.3">
      <c r="A428" s="3">
        <v>427</v>
      </c>
      <c r="B428" s="4">
        <f t="shared" si="7"/>
        <v>0.47897623400365624</v>
      </c>
      <c r="C428" s="5">
        <v>54.7</v>
      </c>
      <c r="D428" s="5">
        <v>26.2</v>
      </c>
      <c r="E428" s="3" t="s">
        <v>7</v>
      </c>
      <c r="F428" s="6">
        <v>44565.270138888889</v>
      </c>
    </row>
    <row r="429" spans="1:6" x14ac:dyDescent="0.3">
      <c r="A429" s="3">
        <v>428</v>
      </c>
      <c r="B429" s="4">
        <f t="shared" si="7"/>
        <v>0.4799357945425361</v>
      </c>
      <c r="C429" s="5">
        <v>62.3</v>
      </c>
      <c r="D429" s="5">
        <v>29.9</v>
      </c>
      <c r="E429" s="3" t="s">
        <v>7</v>
      </c>
      <c r="F429" s="6">
        <v>45405.267361111109</v>
      </c>
    </row>
    <row r="430" spans="1:6" x14ac:dyDescent="0.3">
      <c r="A430" s="3">
        <v>429</v>
      </c>
      <c r="B430" s="4">
        <f t="shared" si="7"/>
        <v>0.48012232415902145</v>
      </c>
      <c r="C430" s="5">
        <v>98.1</v>
      </c>
      <c r="D430" s="5">
        <v>47.1</v>
      </c>
      <c r="E430" s="3" t="s">
        <v>11</v>
      </c>
      <c r="F430" s="6">
        <v>45607.063888888893</v>
      </c>
    </row>
    <row r="431" spans="1:6" x14ac:dyDescent="0.3">
      <c r="A431" s="3">
        <v>430</v>
      </c>
      <c r="B431" s="4">
        <f t="shared" si="7"/>
        <v>0.48046875</v>
      </c>
      <c r="C431" s="5">
        <v>128</v>
      </c>
      <c r="D431" s="5">
        <v>61.5</v>
      </c>
      <c r="E431" s="3" t="s">
        <v>11</v>
      </c>
      <c r="F431" s="6">
        <v>45454.42291666667</v>
      </c>
    </row>
    <row r="432" spans="1:6" x14ac:dyDescent="0.3">
      <c r="A432" s="3">
        <v>431</v>
      </c>
      <c r="B432" s="4">
        <f t="shared" si="7"/>
        <v>0.48055207026348801</v>
      </c>
      <c r="C432" s="5">
        <v>79.7</v>
      </c>
      <c r="D432" s="5">
        <v>38.299999999999997</v>
      </c>
      <c r="E432" s="3" t="s">
        <v>11</v>
      </c>
      <c r="F432" s="6">
        <v>45587.286111111112</v>
      </c>
    </row>
    <row r="433" spans="1:6" x14ac:dyDescent="0.3">
      <c r="A433" s="3">
        <v>432</v>
      </c>
      <c r="B433" s="4">
        <f t="shared" si="7"/>
        <v>0.4809286898839138</v>
      </c>
      <c r="C433" s="5">
        <v>120.6</v>
      </c>
      <c r="D433" s="5">
        <v>58</v>
      </c>
      <c r="E433" s="3" t="s">
        <v>7</v>
      </c>
      <c r="F433" s="6">
        <v>45722.433333333327</v>
      </c>
    </row>
    <row r="434" spans="1:6" x14ac:dyDescent="0.3">
      <c r="A434" s="3">
        <v>433</v>
      </c>
      <c r="B434" s="4">
        <f t="shared" si="7"/>
        <v>0.48107569721115534</v>
      </c>
      <c r="C434" s="5">
        <v>100.4</v>
      </c>
      <c r="D434" s="5">
        <v>48.3</v>
      </c>
      <c r="E434" s="3" t="s">
        <v>11</v>
      </c>
      <c r="F434" s="6">
        <v>46100.10833333333</v>
      </c>
    </row>
    <row r="435" spans="1:6" x14ac:dyDescent="0.3">
      <c r="A435" s="3">
        <v>434</v>
      </c>
      <c r="B435" s="4">
        <f t="shared" si="7"/>
        <v>0.48118081180811811</v>
      </c>
      <c r="C435" s="5">
        <v>135.5</v>
      </c>
      <c r="D435" s="5">
        <v>65.2</v>
      </c>
      <c r="E435" s="3" t="s">
        <v>11</v>
      </c>
      <c r="F435" s="6">
        <v>45173.4375</v>
      </c>
    </row>
    <row r="436" spans="1:6" x14ac:dyDescent="0.3">
      <c r="A436" s="3">
        <v>435</v>
      </c>
      <c r="B436" s="4">
        <f t="shared" si="7"/>
        <v>0.48143982002249713</v>
      </c>
      <c r="C436" s="5">
        <v>88.9</v>
      </c>
      <c r="D436" s="5">
        <v>42.8</v>
      </c>
      <c r="E436" s="3" t="s">
        <v>11</v>
      </c>
      <c r="F436" s="6">
        <v>45182.053472222222</v>
      </c>
    </row>
    <row r="437" spans="1:6" x14ac:dyDescent="0.3">
      <c r="A437" s="3">
        <v>436</v>
      </c>
      <c r="B437" s="4">
        <f t="shared" si="7"/>
        <v>0.48165137614678899</v>
      </c>
      <c r="C437" s="5">
        <v>87.2</v>
      </c>
      <c r="D437" s="5">
        <v>42</v>
      </c>
      <c r="E437" s="3" t="s">
        <v>7</v>
      </c>
      <c r="F437" s="6">
        <v>45917.307638888888</v>
      </c>
    </row>
    <row r="438" spans="1:6" x14ac:dyDescent="0.3">
      <c r="A438" s="3">
        <v>437</v>
      </c>
      <c r="B438" s="4">
        <f t="shared" si="7"/>
        <v>0.48191933240611956</v>
      </c>
      <c r="C438" s="5">
        <v>143.80000000000001</v>
      </c>
      <c r="D438" s="5">
        <v>69.3</v>
      </c>
      <c r="E438" s="3" t="s">
        <v>7</v>
      </c>
      <c r="F438" s="6">
        <v>45387.276388888888</v>
      </c>
    </row>
    <row r="439" spans="1:6" x14ac:dyDescent="0.3">
      <c r="A439" s="3">
        <v>438</v>
      </c>
      <c r="B439" s="4">
        <f t="shared" si="7"/>
        <v>0.48211243611584326</v>
      </c>
      <c r="C439" s="5">
        <v>58.7</v>
      </c>
      <c r="D439" s="5">
        <v>28.3</v>
      </c>
      <c r="E439" s="3" t="s">
        <v>11</v>
      </c>
      <c r="F439" s="6">
        <v>45363.220833333333</v>
      </c>
    </row>
    <row r="440" spans="1:6" x14ac:dyDescent="0.3">
      <c r="A440" s="3">
        <v>439</v>
      </c>
      <c r="B440" s="4">
        <f t="shared" si="7"/>
        <v>0.4824438202247191</v>
      </c>
      <c r="C440" s="5">
        <v>142.4</v>
      </c>
      <c r="D440" s="5">
        <v>68.7</v>
      </c>
      <c r="E440" s="3" t="s">
        <v>11</v>
      </c>
      <c r="F440" s="6">
        <v>45177.589583333327</v>
      </c>
    </row>
    <row r="441" spans="1:6" x14ac:dyDescent="0.3">
      <c r="A441" s="3">
        <v>440</v>
      </c>
      <c r="B441" s="4">
        <f t="shared" si="7"/>
        <v>0.48259385665529014</v>
      </c>
      <c r="C441" s="5">
        <v>146.5</v>
      </c>
      <c r="D441" s="5">
        <v>70.7</v>
      </c>
      <c r="E441" s="3" t="s">
        <v>11</v>
      </c>
      <c r="F441" s="6">
        <v>45778.48541666667</v>
      </c>
    </row>
    <row r="442" spans="1:6" x14ac:dyDescent="0.3">
      <c r="A442" s="3">
        <v>441</v>
      </c>
      <c r="B442" s="4">
        <f t="shared" si="7"/>
        <v>0.48328557784145176</v>
      </c>
      <c r="C442" s="5">
        <v>104.7</v>
      </c>
      <c r="D442" s="5">
        <v>50.6</v>
      </c>
      <c r="E442" s="3" t="s">
        <v>11</v>
      </c>
      <c r="F442" s="6">
        <v>46022.556944444441</v>
      </c>
    </row>
    <row r="443" spans="1:6" x14ac:dyDescent="0.3">
      <c r="A443" s="3">
        <v>442</v>
      </c>
      <c r="B443" s="4">
        <f t="shared" si="7"/>
        <v>0.48341232227488151</v>
      </c>
      <c r="C443" s="5">
        <v>105.5</v>
      </c>
      <c r="D443" s="5">
        <v>51</v>
      </c>
      <c r="E443" s="3" t="s">
        <v>11</v>
      </c>
      <c r="F443" s="6">
        <v>45070.544444444437</v>
      </c>
    </row>
    <row r="444" spans="1:6" x14ac:dyDescent="0.3">
      <c r="A444" s="3">
        <v>443</v>
      </c>
      <c r="B444" s="4">
        <f t="shared" si="7"/>
        <v>0.48354792560801135</v>
      </c>
      <c r="C444" s="5">
        <v>69.900000000000006</v>
      </c>
      <c r="D444" s="5">
        <v>33.799999999999997</v>
      </c>
      <c r="E444" s="3" t="s">
        <v>7</v>
      </c>
      <c r="F444" s="6">
        <v>44671.532638888893</v>
      </c>
    </row>
    <row r="445" spans="1:6" x14ac:dyDescent="0.3">
      <c r="A445" s="3">
        <v>444</v>
      </c>
      <c r="B445" s="4">
        <f t="shared" si="7"/>
        <v>0.48355555555555552</v>
      </c>
      <c r="C445" s="5">
        <v>112.5</v>
      </c>
      <c r="D445" s="5">
        <v>54.4</v>
      </c>
      <c r="E445" s="3" t="s">
        <v>11</v>
      </c>
      <c r="F445" s="6">
        <v>45673.025000000001</v>
      </c>
    </row>
    <row r="446" spans="1:6" x14ac:dyDescent="0.3">
      <c r="A446" s="3">
        <v>445</v>
      </c>
      <c r="B446" s="4">
        <f t="shared" si="7"/>
        <v>0.48358585858585851</v>
      </c>
      <c r="C446" s="5">
        <v>79.2</v>
      </c>
      <c r="D446" s="5">
        <v>38.299999999999997</v>
      </c>
      <c r="E446" s="3" t="s">
        <v>11</v>
      </c>
      <c r="F446" s="6">
        <v>44722.242361111108</v>
      </c>
    </row>
    <row r="447" spans="1:6" x14ac:dyDescent="0.3">
      <c r="A447" s="3">
        <v>446</v>
      </c>
      <c r="B447" s="4">
        <f t="shared" si="7"/>
        <v>0.48396501457725954</v>
      </c>
      <c r="C447" s="5">
        <v>68.599999999999994</v>
      </c>
      <c r="D447" s="5">
        <v>33.200000000000003</v>
      </c>
      <c r="E447" s="3" t="s">
        <v>7</v>
      </c>
      <c r="F447" s="6">
        <v>45945.756249999999</v>
      </c>
    </row>
    <row r="448" spans="1:6" x14ac:dyDescent="0.3">
      <c r="A448" s="3">
        <v>447</v>
      </c>
      <c r="B448" s="4">
        <f t="shared" si="7"/>
        <v>0.48411214953271026</v>
      </c>
      <c r="C448" s="5">
        <v>107</v>
      </c>
      <c r="D448" s="5">
        <v>51.8</v>
      </c>
      <c r="E448" s="3" t="s">
        <v>7</v>
      </c>
      <c r="F448" s="6">
        <v>45700.920138888891</v>
      </c>
    </row>
    <row r="449" spans="1:6" x14ac:dyDescent="0.3">
      <c r="A449" s="3">
        <v>448</v>
      </c>
      <c r="B449" s="4">
        <f t="shared" si="7"/>
        <v>0.48412698412698413</v>
      </c>
      <c r="C449" s="5">
        <v>100.8</v>
      </c>
      <c r="D449" s="5">
        <v>48.8</v>
      </c>
      <c r="E449" s="3" t="s">
        <v>11</v>
      </c>
      <c r="F449" s="6">
        <v>44649.313888888893</v>
      </c>
    </row>
    <row r="450" spans="1:6" x14ac:dyDescent="0.3">
      <c r="A450" s="3">
        <v>449</v>
      </c>
      <c r="B450" s="4">
        <f t="shared" ref="B450:B513" si="8">D450/C450</f>
        <v>0.48493150684931507</v>
      </c>
      <c r="C450" s="5">
        <v>109.5</v>
      </c>
      <c r="D450" s="5">
        <v>53.1</v>
      </c>
      <c r="E450" s="3" t="s">
        <v>7</v>
      </c>
      <c r="F450" s="6">
        <v>45758.052083333343</v>
      </c>
    </row>
    <row r="451" spans="1:6" x14ac:dyDescent="0.3">
      <c r="A451" s="3">
        <v>450</v>
      </c>
      <c r="B451" s="4">
        <f t="shared" si="8"/>
        <v>0.48648648648648651</v>
      </c>
      <c r="C451" s="5">
        <v>107.3</v>
      </c>
      <c r="D451" s="5">
        <v>52.2</v>
      </c>
      <c r="E451" s="3" t="s">
        <v>7</v>
      </c>
      <c r="F451" s="6">
        <v>44727.225694444453</v>
      </c>
    </row>
    <row r="452" spans="1:6" x14ac:dyDescent="0.3">
      <c r="A452" s="3">
        <v>451</v>
      </c>
      <c r="B452" s="4">
        <f t="shared" si="8"/>
        <v>0.48714285714285716</v>
      </c>
      <c r="C452" s="5">
        <v>70</v>
      </c>
      <c r="D452" s="5">
        <v>34.1</v>
      </c>
      <c r="E452" s="3" t="s">
        <v>11</v>
      </c>
      <c r="F452" s="6">
        <v>45534.613194444442</v>
      </c>
    </row>
    <row r="453" spans="1:6" x14ac:dyDescent="0.3">
      <c r="A453" s="3">
        <v>452</v>
      </c>
      <c r="B453" s="4">
        <f t="shared" si="8"/>
        <v>0.48722800378429515</v>
      </c>
      <c r="C453" s="5">
        <v>105.7</v>
      </c>
      <c r="D453" s="5">
        <v>51.5</v>
      </c>
      <c r="E453" s="3" t="s">
        <v>7</v>
      </c>
      <c r="F453" s="6">
        <v>44824.091666666667</v>
      </c>
    </row>
    <row r="454" spans="1:6" x14ac:dyDescent="0.3">
      <c r="A454" s="3">
        <v>453</v>
      </c>
      <c r="B454" s="4">
        <f t="shared" si="8"/>
        <v>0.48763250883392223</v>
      </c>
      <c r="C454" s="5">
        <v>84.9</v>
      </c>
      <c r="D454" s="5">
        <v>41.4</v>
      </c>
      <c r="E454" s="3" t="s">
        <v>7</v>
      </c>
      <c r="F454" s="6">
        <v>45040.3</v>
      </c>
    </row>
    <row r="455" spans="1:6" x14ac:dyDescent="0.3">
      <c r="A455" s="3">
        <v>454</v>
      </c>
      <c r="B455" s="4">
        <f t="shared" si="8"/>
        <v>0.48793565683646112</v>
      </c>
      <c r="C455" s="5">
        <v>74.599999999999994</v>
      </c>
      <c r="D455" s="5">
        <v>36.4</v>
      </c>
      <c r="E455" s="3" t="s">
        <v>11</v>
      </c>
      <c r="F455" s="6">
        <v>45266.231249999997</v>
      </c>
    </row>
    <row r="456" spans="1:6" x14ac:dyDescent="0.3">
      <c r="A456" s="3">
        <v>455</v>
      </c>
      <c r="B456" s="4">
        <f t="shared" si="8"/>
        <v>0.48838383838383842</v>
      </c>
      <c r="C456" s="5">
        <v>198</v>
      </c>
      <c r="D456" s="5">
        <v>96.7</v>
      </c>
      <c r="E456" s="3" t="s">
        <v>11</v>
      </c>
      <c r="F456" s="6">
        <v>44881.001388888893</v>
      </c>
    </row>
    <row r="457" spans="1:6" x14ac:dyDescent="0.3">
      <c r="A457" s="3">
        <v>456</v>
      </c>
      <c r="B457" s="4">
        <f t="shared" si="8"/>
        <v>0.48846675712347354</v>
      </c>
      <c r="C457" s="5">
        <v>73.7</v>
      </c>
      <c r="D457" s="5">
        <v>36</v>
      </c>
      <c r="E457" s="3" t="s">
        <v>7</v>
      </c>
      <c r="F457" s="6">
        <v>45643.433333333327</v>
      </c>
    </row>
    <row r="458" spans="1:6" x14ac:dyDescent="0.3">
      <c r="A458" s="3">
        <v>457</v>
      </c>
      <c r="B458" s="4">
        <f t="shared" si="8"/>
        <v>0.48851939825811563</v>
      </c>
      <c r="C458" s="5">
        <v>126.3</v>
      </c>
      <c r="D458" s="5">
        <v>61.7</v>
      </c>
      <c r="E458" s="3" t="s">
        <v>7</v>
      </c>
      <c r="F458" s="6">
        <v>44767.611805555563</v>
      </c>
    </row>
    <row r="459" spans="1:6" x14ac:dyDescent="0.3">
      <c r="A459" s="3">
        <v>458</v>
      </c>
      <c r="B459" s="4">
        <f t="shared" si="8"/>
        <v>0.48885077186963982</v>
      </c>
      <c r="C459" s="5">
        <v>58.3</v>
      </c>
      <c r="D459" s="5">
        <v>28.5</v>
      </c>
      <c r="E459" s="3" t="s">
        <v>11</v>
      </c>
      <c r="F459" s="6">
        <v>45196.355555555558</v>
      </c>
    </row>
    <row r="460" spans="1:6" x14ac:dyDescent="0.3">
      <c r="A460" s="3">
        <v>459</v>
      </c>
      <c r="B460" s="4">
        <f t="shared" si="8"/>
        <v>0.48948220064724923</v>
      </c>
      <c r="C460" s="5">
        <v>123.6</v>
      </c>
      <c r="D460" s="5">
        <v>60.5</v>
      </c>
      <c r="E460" s="3" t="s">
        <v>7</v>
      </c>
      <c r="F460" s="6">
        <v>44876.401388888888</v>
      </c>
    </row>
    <row r="461" spans="1:6" x14ac:dyDescent="0.3">
      <c r="A461" s="3">
        <v>460</v>
      </c>
      <c r="B461" s="4">
        <f t="shared" si="8"/>
        <v>0.48957298907646468</v>
      </c>
      <c r="C461" s="5">
        <v>100.7</v>
      </c>
      <c r="D461" s="5">
        <v>49.3</v>
      </c>
      <c r="E461" s="3" t="s">
        <v>11</v>
      </c>
      <c r="F461" s="6">
        <v>45639.531944444447</v>
      </c>
    </row>
    <row r="462" spans="1:6" x14ac:dyDescent="0.3">
      <c r="A462" s="3">
        <v>461</v>
      </c>
      <c r="B462" s="4">
        <f t="shared" si="8"/>
        <v>0.49039692701664533</v>
      </c>
      <c r="C462" s="5">
        <v>78.099999999999994</v>
      </c>
      <c r="D462" s="5">
        <v>38.299999999999997</v>
      </c>
      <c r="E462" s="3" t="s">
        <v>11</v>
      </c>
      <c r="F462" s="6">
        <v>44931.418055555558</v>
      </c>
    </row>
    <row r="463" spans="1:6" x14ac:dyDescent="0.3">
      <c r="A463" s="3">
        <v>462</v>
      </c>
      <c r="B463" s="4">
        <f t="shared" si="8"/>
        <v>0.49061032863849763</v>
      </c>
      <c r="C463" s="5">
        <v>85.2</v>
      </c>
      <c r="D463" s="5">
        <v>41.8</v>
      </c>
      <c r="E463" s="3" t="s">
        <v>7</v>
      </c>
      <c r="F463" s="6">
        <v>46051.087500000001</v>
      </c>
    </row>
    <row r="464" spans="1:6" x14ac:dyDescent="0.3">
      <c r="A464" s="3">
        <v>463</v>
      </c>
      <c r="B464" s="4">
        <f t="shared" si="8"/>
        <v>0.49105367793240556</v>
      </c>
      <c r="C464" s="5">
        <v>50.3</v>
      </c>
      <c r="D464" s="5">
        <v>24.7</v>
      </c>
      <c r="E464" s="3" t="s">
        <v>7</v>
      </c>
      <c r="F464" s="6">
        <v>46034.193749999999</v>
      </c>
    </row>
    <row r="465" spans="1:6" x14ac:dyDescent="0.3">
      <c r="A465" s="3">
        <v>464</v>
      </c>
      <c r="B465" s="4">
        <f t="shared" si="8"/>
        <v>0.49168399168399163</v>
      </c>
      <c r="C465" s="5">
        <v>96.2</v>
      </c>
      <c r="D465" s="5">
        <v>47.3</v>
      </c>
      <c r="E465" s="3" t="s">
        <v>7</v>
      </c>
      <c r="F465" s="6">
        <v>44515.92083333333</v>
      </c>
    </row>
    <row r="466" spans="1:6" x14ac:dyDescent="0.3">
      <c r="A466" s="3">
        <v>465</v>
      </c>
      <c r="B466" s="4">
        <f t="shared" si="8"/>
        <v>0.49180327868852458</v>
      </c>
      <c r="C466" s="5">
        <v>109.8</v>
      </c>
      <c r="D466" s="5">
        <v>54</v>
      </c>
      <c r="E466" s="3" t="s">
        <v>11</v>
      </c>
      <c r="F466" s="6">
        <v>46070.443749999999</v>
      </c>
    </row>
    <row r="467" spans="1:6" x14ac:dyDescent="0.3">
      <c r="A467" s="3">
        <v>466</v>
      </c>
      <c r="B467" s="4">
        <f t="shared" si="8"/>
        <v>0.49186991869918695</v>
      </c>
      <c r="C467" s="5">
        <v>98.4</v>
      </c>
      <c r="D467" s="5">
        <v>48.4</v>
      </c>
      <c r="E467" s="3" t="s">
        <v>7</v>
      </c>
      <c r="F467" s="6">
        <v>45049.510416666657</v>
      </c>
    </row>
    <row r="468" spans="1:6" x14ac:dyDescent="0.3">
      <c r="A468" s="3">
        <v>467</v>
      </c>
      <c r="B468" s="4">
        <f t="shared" si="8"/>
        <v>0.49210110584518169</v>
      </c>
      <c r="C468" s="5">
        <v>126.6</v>
      </c>
      <c r="D468" s="5">
        <v>62.3</v>
      </c>
      <c r="E468" s="3" t="s">
        <v>11</v>
      </c>
      <c r="F468" s="6">
        <v>44959.559027777781</v>
      </c>
    </row>
    <row r="469" spans="1:6" x14ac:dyDescent="0.3">
      <c r="A469" s="3">
        <v>468</v>
      </c>
      <c r="B469" s="4">
        <f t="shared" si="8"/>
        <v>0.49323715058611362</v>
      </c>
      <c r="C469" s="5">
        <v>110.9</v>
      </c>
      <c r="D469" s="5">
        <v>54.7</v>
      </c>
      <c r="E469" s="3" t="s">
        <v>11</v>
      </c>
      <c r="F469" s="6">
        <v>46101.769444444442</v>
      </c>
    </row>
    <row r="470" spans="1:6" x14ac:dyDescent="0.3">
      <c r="A470" s="3">
        <v>469</v>
      </c>
      <c r="B470" s="4">
        <f t="shared" si="8"/>
        <v>0.49333333333333329</v>
      </c>
      <c r="C470" s="5">
        <v>142.5</v>
      </c>
      <c r="D470" s="5">
        <v>70.3</v>
      </c>
      <c r="E470" s="3" t="s">
        <v>11</v>
      </c>
      <c r="F470" s="6">
        <v>45000.520833333343</v>
      </c>
    </row>
    <row r="471" spans="1:6" x14ac:dyDescent="0.3">
      <c r="A471" s="3">
        <v>470</v>
      </c>
      <c r="B471" s="4">
        <f t="shared" si="8"/>
        <v>0.49335548172757471</v>
      </c>
      <c r="C471" s="5">
        <v>120.4</v>
      </c>
      <c r="D471" s="5">
        <v>59.4</v>
      </c>
      <c r="E471" s="3" t="s">
        <v>7</v>
      </c>
      <c r="F471" s="6">
        <v>45555.469444444447</v>
      </c>
    </row>
    <row r="472" spans="1:6" x14ac:dyDescent="0.3">
      <c r="A472" s="3">
        <v>471</v>
      </c>
      <c r="B472" s="4">
        <f t="shared" si="8"/>
        <v>0.49341142020497808</v>
      </c>
      <c r="C472" s="5">
        <v>68.3</v>
      </c>
      <c r="D472" s="5">
        <v>33.700000000000003</v>
      </c>
      <c r="E472" s="3" t="s">
        <v>11</v>
      </c>
      <c r="F472" s="6">
        <v>46106.738194444442</v>
      </c>
    </row>
    <row r="473" spans="1:6" x14ac:dyDescent="0.3">
      <c r="A473" s="3">
        <v>472</v>
      </c>
      <c r="B473" s="4">
        <f t="shared" si="8"/>
        <v>0.49382716049382719</v>
      </c>
      <c r="C473" s="5">
        <v>105.3</v>
      </c>
      <c r="D473" s="5">
        <v>52</v>
      </c>
      <c r="E473" s="3" t="s">
        <v>11</v>
      </c>
      <c r="F473" s="6">
        <v>45628.855555555558</v>
      </c>
    </row>
    <row r="474" spans="1:6" x14ac:dyDescent="0.3">
      <c r="A474" s="3">
        <v>473</v>
      </c>
      <c r="B474" s="4">
        <f t="shared" si="8"/>
        <v>0.4942307692307692</v>
      </c>
      <c r="C474" s="5">
        <v>104</v>
      </c>
      <c r="D474" s="5">
        <v>51.4</v>
      </c>
      <c r="E474" s="3" t="s">
        <v>11</v>
      </c>
      <c r="F474" s="6">
        <v>44818.227083333331</v>
      </c>
    </row>
    <row r="475" spans="1:6" x14ac:dyDescent="0.3">
      <c r="A475" s="3">
        <v>474</v>
      </c>
      <c r="B475" s="4">
        <f t="shared" si="8"/>
        <v>0.49426485922836283</v>
      </c>
      <c r="C475" s="5">
        <v>95.9</v>
      </c>
      <c r="D475" s="5">
        <v>47.4</v>
      </c>
      <c r="E475" s="3" t="s">
        <v>11</v>
      </c>
      <c r="F475" s="6">
        <v>45260.5625</v>
      </c>
    </row>
    <row r="476" spans="1:6" x14ac:dyDescent="0.3">
      <c r="A476" s="3">
        <v>475</v>
      </c>
      <c r="B476" s="4">
        <f t="shared" si="8"/>
        <v>0.49470338983050849</v>
      </c>
      <c r="C476" s="5">
        <v>94.4</v>
      </c>
      <c r="D476" s="5">
        <v>46.7</v>
      </c>
      <c r="E476" s="3" t="s">
        <v>7</v>
      </c>
      <c r="F476" s="6">
        <v>45099.293749999997</v>
      </c>
    </row>
    <row r="477" spans="1:6" x14ac:dyDescent="0.3">
      <c r="A477" s="3">
        <v>476</v>
      </c>
      <c r="B477" s="4">
        <f t="shared" si="8"/>
        <v>0.49481327800829877</v>
      </c>
      <c r="C477" s="5">
        <v>96.4</v>
      </c>
      <c r="D477" s="5">
        <v>47.7</v>
      </c>
      <c r="E477" s="3" t="s">
        <v>7</v>
      </c>
      <c r="F477" s="6">
        <v>45035.268750000003</v>
      </c>
    </row>
    <row r="478" spans="1:6" x14ac:dyDescent="0.3">
      <c r="A478" s="3">
        <v>477</v>
      </c>
      <c r="B478" s="4">
        <f t="shared" si="8"/>
        <v>0.49481865284974097</v>
      </c>
      <c r="C478" s="5">
        <v>77.2</v>
      </c>
      <c r="D478" s="5">
        <v>38.200000000000003</v>
      </c>
      <c r="E478" s="3" t="s">
        <v>7</v>
      </c>
      <c r="F478" s="6">
        <v>45561.555555555547</v>
      </c>
    </row>
    <row r="479" spans="1:6" x14ac:dyDescent="0.3">
      <c r="A479" s="3">
        <v>478</v>
      </c>
      <c r="B479" s="4">
        <f t="shared" si="8"/>
        <v>0.49495798319327727</v>
      </c>
      <c r="C479" s="5">
        <v>119</v>
      </c>
      <c r="D479" s="5">
        <v>58.9</v>
      </c>
      <c r="E479" s="3" t="s">
        <v>11</v>
      </c>
      <c r="F479" s="6">
        <v>45307.681944444441</v>
      </c>
    </row>
    <row r="480" spans="1:6" x14ac:dyDescent="0.3">
      <c r="A480" s="3">
        <v>479</v>
      </c>
      <c r="B480" s="4">
        <f t="shared" si="8"/>
        <v>0.49513381995133821</v>
      </c>
      <c r="C480" s="5">
        <v>164.4</v>
      </c>
      <c r="D480" s="5">
        <v>81.400000000000006</v>
      </c>
      <c r="E480" s="3" t="s">
        <v>7</v>
      </c>
      <c r="F480" s="6">
        <v>44833.961111111108</v>
      </c>
    </row>
    <row r="481" spans="1:6" x14ac:dyDescent="0.3">
      <c r="A481" s="3">
        <v>480</v>
      </c>
      <c r="B481" s="4">
        <f t="shared" si="8"/>
        <v>0.49556650246305417</v>
      </c>
      <c r="C481" s="5">
        <v>101.5</v>
      </c>
      <c r="D481" s="5">
        <v>50.3</v>
      </c>
      <c r="E481" s="3" t="s">
        <v>11</v>
      </c>
      <c r="F481" s="6">
        <v>46038.445138888892</v>
      </c>
    </row>
    <row r="482" spans="1:6" x14ac:dyDescent="0.3">
      <c r="A482" s="3">
        <v>481</v>
      </c>
      <c r="B482" s="4">
        <f t="shared" si="8"/>
        <v>0.4955752212389381</v>
      </c>
      <c r="C482" s="5">
        <v>79.099999999999994</v>
      </c>
      <c r="D482" s="5">
        <v>39.200000000000003</v>
      </c>
      <c r="E482" s="3" t="s">
        <v>7</v>
      </c>
      <c r="F482" s="6">
        <v>45813.09652777778</v>
      </c>
    </row>
    <row r="483" spans="1:6" x14ac:dyDescent="0.3">
      <c r="A483" s="3">
        <v>482</v>
      </c>
      <c r="B483" s="4">
        <f t="shared" si="8"/>
        <v>0.49565217391304345</v>
      </c>
      <c r="C483" s="5">
        <v>80.5</v>
      </c>
      <c r="D483" s="5">
        <v>39.9</v>
      </c>
      <c r="E483" s="3" t="s">
        <v>7</v>
      </c>
      <c r="F483" s="6">
        <v>45589.678472222222</v>
      </c>
    </row>
    <row r="484" spans="1:6" x14ac:dyDescent="0.3">
      <c r="A484" s="3">
        <v>483</v>
      </c>
      <c r="B484" s="4">
        <f t="shared" si="8"/>
        <v>0.49627174813587405</v>
      </c>
      <c r="C484" s="5">
        <v>120.7</v>
      </c>
      <c r="D484" s="5">
        <v>59.9</v>
      </c>
      <c r="E484" s="3" t="s">
        <v>7</v>
      </c>
      <c r="F484" s="6">
        <v>44761.769444444442</v>
      </c>
    </row>
    <row r="485" spans="1:6" x14ac:dyDescent="0.3">
      <c r="A485" s="3">
        <v>484</v>
      </c>
      <c r="B485" s="4">
        <f t="shared" si="8"/>
        <v>0.49668874172185429</v>
      </c>
      <c r="C485" s="5">
        <v>135.9</v>
      </c>
      <c r="D485" s="5">
        <v>67.5</v>
      </c>
      <c r="E485" s="3" t="s">
        <v>7</v>
      </c>
      <c r="F485" s="6">
        <v>44727.545138888891</v>
      </c>
    </row>
    <row r="486" spans="1:6" x14ac:dyDescent="0.3">
      <c r="A486" s="3">
        <v>485</v>
      </c>
      <c r="B486" s="4">
        <f t="shared" si="8"/>
        <v>0.49785407725321879</v>
      </c>
      <c r="C486" s="5">
        <v>69.900000000000006</v>
      </c>
      <c r="D486" s="5">
        <v>34.799999999999997</v>
      </c>
      <c r="E486" s="3" t="s">
        <v>7</v>
      </c>
      <c r="F486" s="6">
        <v>45015.47152777778</v>
      </c>
    </row>
    <row r="487" spans="1:6" x14ac:dyDescent="0.3">
      <c r="A487" s="3">
        <v>486</v>
      </c>
      <c r="B487" s="4">
        <f t="shared" si="8"/>
        <v>0.49806651198762569</v>
      </c>
      <c r="C487" s="5">
        <v>129.30000000000001</v>
      </c>
      <c r="D487" s="5">
        <v>64.400000000000006</v>
      </c>
      <c r="E487" s="3" t="s">
        <v>11</v>
      </c>
      <c r="F487" s="6">
        <v>44699.518055555563</v>
      </c>
    </row>
    <row r="488" spans="1:6" x14ac:dyDescent="0.3">
      <c r="A488" s="3">
        <v>487</v>
      </c>
      <c r="B488" s="4">
        <f t="shared" si="8"/>
        <v>0.49813432835820892</v>
      </c>
      <c r="C488" s="5">
        <v>53.6</v>
      </c>
      <c r="D488" s="5">
        <v>26.7</v>
      </c>
      <c r="E488" s="3" t="s">
        <v>7</v>
      </c>
      <c r="F488" s="6">
        <v>45631.517361111109</v>
      </c>
    </row>
    <row r="489" spans="1:6" x14ac:dyDescent="0.3">
      <c r="A489" s="3">
        <v>488</v>
      </c>
      <c r="B489" s="4">
        <f t="shared" si="8"/>
        <v>0.49904397705544939</v>
      </c>
      <c r="C489" s="5">
        <v>104.6</v>
      </c>
      <c r="D489" s="5">
        <v>52.2</v>
      </c>
      <c r="E489" s="3" t="s">
        <v>7</v>
      </c>
      <c r="F489" s="6">
        <v>45049.774305555547</v>
      </c>
    </row>
    <row r="490" spans="1:6" x14ac:dyDescent="0.3">
      <c r="A490" s="3">
        <v>489</v>
      </c>
      <c r="B490" s="4">
        <f t="shared" si="8"/>
        <v>0.49926793557833093</v>
      </c>
      <c r="C490" s="5">
        <v>136.6</v>
      </c>
      <c r="D490" s="5">
        <v>68.2</v>
      </c>
      <c r="E490" s="3" t="s">
        <v>11</v>
      </c>
      <c r="F490" s="6">
        <v>45754.740972222222</v>
      </c>
    </row>
    <row r="491" spans="1:6" x14ac:dyDescent="0.3">
      <c r="A491" s="3">
        <v>490</v>
      </c>
      <c r="B491" s="4">
        <f t="shared" si="8"/>
        <v>0.49929478138222844</v>
      </c>
      <c r="C491" s="5">
        <v>141.80000000000001</v>
      </c>
      <c r="D491" s="5">
        <v>70.8</v>
      </c>
      <c r="E491" s="3" t="s">
        <v>7</v>
      </c>
      <c r="F491" s="6">
        <v>44978.390277777777</v>
      </c>
    </row>
    <row r="492" spans="1:6" x14ac:dyDescent="0.3">
      <c r="A492" s="3">
        <v>491</v>
      </c>
      <c r="B492" s="4">
        <f t="shared" si="8"/>
        <v>0.49953831948291783</v>
      </c>
      <c r="C492" s="5">
        <v>108.3</v>
      </c>
      <c r="D492" s="5">
        <v>54.1</v>
      </c>
      <c r="E492" s="3" t="s">
        <v>7</v>
      </c>
      <c r="F492" s="6">
        <v>44943.741666666669</v>
      </c>
    </row>
    <row r="493" spans="1:6" x14ac:dyDescent="0.3">
      <c r="A493" s="3">
        <v>492</v>
      </c>
      <c r="B493" s="4">
        <f t="shared" si="8"/>
        <v>0.5</v>
      </c>
      <c r="C493" s="5">
        <v>95.2</v>
      </c>
      <c r="D493" s="5">
        <v>47.6</v>
      </c>
      <c r="E493" s="3" t="s">
        <v>11</v>
      </c>
      <c r="F493" s="6">
        <v>44790.588888888888</v>
      </c>
    </row>
    <row r="494" spans="1:6" x14ac:dyDescent="0.3">
      <c r="A494" s="3">
        <v>493</v>
      </c>
      <c r="B494" s="4">
        <f t="shared" si="8"/>
        <v>0.50056882821387938</v>
      </c>
      <c r="C494" s="5">
        <v>87.9</v>
      </c>
      <c r="D494" s="5">
        <v>44</v>
      </c>
      <c r="E494" s="3" t="s">
        <v>11</v>
      </c>
      <c r="F494" s="6">
        <v>45888.43472222222</v>
      </c>
    </row>
    <row r="495" spans="1:6" x14ac:dyDescent="0.3">
      <c r="A495" s="3">
        <v>494</v>
      </c>
      <c r="B495" s="4">
        <f t="shared" si="8"/>
        <v>0.50095238095238093</v>
      </c>
      <c r="C495" s="5">
        <v>52.5</v>
      </c>
      <c r="D495" s="5">
        <v>26.3</v>
      </c>
      <c r="E495" s="3" t="s">
        <v>11</v>
      </c>
      <c r="F495" s="6">
        <v>45306.510416666657</v>
      </c>
    </row>
    <row r="496" spans="1:6" x14ac:dyDescent="0.3">
      <c r="A496" s="3">
        <v>495</v>
      </c>
      <c r="B496" s="4">
        <f t="shared" si="8"/>
        <v>0.50099800399201599</v>
      </c>
      <c r="C496" s="5">
        <v>100.2</v>
      </c>
      <c r="D496" s="5">
        <v>50.2</v>
      </c>
      <c r="E496" s="3" t="s">
        <v>11</v>
      </c>
      <c r="F496" s="6">
        <v>46111.255555555559</v>
      </c>
    </row>
    <row r="497" spans="1:6" x14ac:dyDescent="0.3">
      <c r="A497" s="3">
        <v>496</v>
      </c>
      <c r="B497" s="4">
        <f t="shared" si="8"/>
        <v>0.50277469478357384</v>
      </c>
      <c r="C497" s="5">
        <v>90.1</v>
      </c>
      <c r="D497" s="5">
        <v>45.3</v>
      </c>
      <c r="E497" s="3" t="s">
        <v>7</v>
      </c>
      <c r="F497" s="6">
        <v>44620.748611111107</v>
      </c>
    </row>
    <row r="498" spans="1:6" x14ac:dyDescent="0.3">
      <c r="A498" s="3">
        <v>497</v>
      </c>
      <c r="B498" s="4">
        <f t="shared" si="8"/>
        <v>0.50287356321839083</v>
      </c>
      <c r="C498" s="5">
        <v>104.4</v>
      </c>
      <c r="D498" s="5">
        <v>52.5</v>
      </c>
      <c r="E498" s="3" t="s">
        <v>7</v>
      </c>
      <c r="F498" s="6">
        <v>44719.550694444442</v>
      </c>
    </row>
    <row r="499" spans="1:6" x14ac:dyDescent="0.3">
      <c r="A499" s="3">
        <v>498</v>
      </c>
      <c r="B499" s="4">
        <f t="shared" si="8"/>
        <v>0.50287907869481763</v>
      </c>
      <c r="C499" s="5">
        <v>104.2</v>
      </c>
      <c r="D499" s="5">
        <v>52.4</v>
      </c>
      <c r="E499" s="3" t="s">
        <v>7</v>
      </c>
      <c r="F499" s="6">
        <v>45728.295138888891</v>
      </c>
    </row>
    <row r="500" spans="1:6" x14ac:dyDescent="0.3">
      <c r="A500" s="3">
        <v>499</v>
      </c>
      <c r="B500" s="4">
        <f t="shared" si="8"/>
        <v>0.50309789343246591</v>
      </c>
      <c r="C500" s="5">
        <v>161.4</v>
      </c>
      <c r="D500" s="5">
        <v>81.2</v>
      </c>
      <c r="E500" s="3" t="s">
        <v>7</v>
      </c>
      <c r="F500" s="6">
        <v>44832.686805555553</v>
      </c>
    </row>
    <row r="501" spans="1:6" x14ac:dyDescent="0.3">
      <c r="A501" s="3">
        <v>500</v>
      </c>
      <c r="B501" s="4">
        <f t="shared" si="8"/>
        <v>0.50369198312236285</v>
      </c>
      <c r="C501" s="5">
        <v>189.6</v>
      </c>
      <c r="D501" s="5">
        <v>95.5</v>
      </c>
      <c r="E501" s="3" t="s">
        <v>11</v>
      </c>
      <c r="F501" s="6">
        <v>45694.78125</v>
      </c>
    </row>
    <row r="502" spans="1:6" x14ac:dyDescent="0.3">
      <c r="A502" s="3">
        <v>501</v>
      </c>
      <c r="B502" s="4">
        <f t="shared" si="8"/>
        <v>0.50425273390036451</v>
      </c>
      <c r="C502" s="5">
        <v>82.3</v>
      </c>
      <c r="D502" s="5">
        <v>41.5</v>
      </c>
      <c r="E502" s="3" t="s">
        <v>11</v>
      </c>
      <c r="F502" s="6">
        <v>45323.112500000003</v>
      </c>
    </row>
    <row r="503" spans="1:6" x14ac:dyDescent="0.3">
      <c r="A503" s="3">
        <v>502</v>
      </c>
      <c r="B503" s="4">
        <f t="shared" si="8"/>
        <v>0.50531914893617025</v>
      </c>
      <c r="C503" s="5">
        <v>56.4</v>
      </c>
      <c r="D503" s="5">
        <v>28.5</v>
      </c>
      <c r="E503" s="3" t="s">
        <v>7</v>
      </c>
      <c r="F503" s="6">
        <v>45867.875694444447</v>
      </c>
    </row>
    <row r="504" spans="1:6" x14ac:dyDescent="0.3">
      <c r="A504" s="3">
        <v>503</v>
      </c>
      <c r="B504" s="4">
        <f t="shared" si="8"/>
        <v>0.50564726324934839</v>
      </c>
      <c r="C504" s="5">
        <v>115.1</v>
      </c>
      <c r="D504" s="5">
        <v>58.2</v>
      </c>
      <c r="E504" s="3" t="s">
        <v>11</v>
      </c>
      <c r="F504" s="6">
        <v>44810.631944444453</v>
      </c>
    </row>
    <row r="505" spans="1:6" x14ac:dyDescent="0.3">
      <c r="A505" s="3">
        <v>504</v>
      </c>
      <c r="B505" s="4">
        <f t="shared" si="8"/>
        <v>0.50573065902578795</v>
      </c>
      <c r="C505" s="5">
        <v>139.6</v>
      </c>
      <c r="D505" s="5">
        <v>70.599999999999994</v>
      </c>
      <c r="E505" s="3" t="s">
        <v>7</v>
      </c>
      <c r="F505" s="6">
        <v>45203.602777777778</v>
      </c>
    </row>
    <row r="506" spans="1:6" x14ac:dyDescent="0.3">
      <c r="A506" s="3">
        <v>505</v>
      </c>
      <c r="B506" s="4">
        <f t="shared" si="8"/>
        <v>0.50645624103299847</v>
      </c>
      <c r="C506" s="5">
        <v>69.7</v>
      </c>
      <c r="D506" s="5">
        <v>35.299999999999997</v>
      </c>
      <c r="E506" s="3" t="s">
        <v>7</v>
      </c>
      <c r="F506" s="6">
        <v>44859.504861111112</v>
      </c>
    </row>
    <row r="507" spans="1:6" x14ac:dyDescent="0.3">
      <c r="A507" s="3">
        <v>506</v>
      </c>
      <c r="B507" s="4">
        <f t="shared" si="8"/>
        <v>0.50654450261780104</v>
      </c>
      <c r="C507" s="5">
        <v>76.400000000000006</v>
      </c>
      <c r="D507" s="5">
        <v>38.700000000000003</v>
      </c>
      <c r="E507" s="3" t="s">
        <v>11</v>
      </c>
      <c r="F507" s="6">
        <v>44669.523611111108</v>
      </c>
    </row>
    <row r="508" spans="1:6" x14ac:dyDescent="0.3">
      <c r="A508" s="3">
        <v>507</v>
      </c>
      <c r="B508" s="4">
        <f t="shared" si="8"/>
        <v>0.50655021834061131</v>
      </c>
      <c r="C508" s="5">
        <v>137.4</v>
      </c>
      <c r="D508" s="5">
        <v>69.599999999999994</v>
      </c>
      <c r="E508" s="3" t="s">
        <v>7</v>
      </c>
      <c r="F508" s="6">
        <v>45047.37777777778</v>
      </c>
    </row>
    <row r="509" spans="1:6" x14ac:dyDescent="0.3">
      <c r="A509" s="3">
        <v>508</v>
      </c>
      <c r="B509" s="4">
        <f t="shared" si="8"/>
        <v>0.50659630606860162</v>
      </c>
      <c r="C509" s="5">
        <v>75.8</v>
      </c>
      <c r="D509" s="5">
        <v>38.4</v>
      </c>
      <c r="E509" s="3" t="s">
        <v>11</v>
      </c>
      <c r="F509" s="6">
        <v>46265.620138888888</v>
      </c>
    </row>
    <row r="510" spans="1:6" x14ac:dyDescent="0.3">
      <c r="A510" s="3">
        <v>509</v>
      </c>
      <c r="B510" s="4">
        <f t="shared" si="8"/>
        <v>0.50692520775623273</v>
      </c>
      <c r="C510" s="5">
        <v>72.2</v>
      </c>
      <c r="D510" s="5">
        <v>36.6</v>
      </c>
      <c r="E510" s="3" t="s">
        <v>7</v>
      </c>
      <c r="F510" s="6">
        <v>45218.666666666657</v>
      </c>
    </row>
    <row r="511" spans="1:6" x14ac:dyDescent="0.3">
      <c r="A511" s="3">
        <v>510</v>
      </c>
      <c r="B511" s="4">
        <f t="shared" si="8"/>
        <v>0.50705394190871367</v>
      </c>
      <c r="C511" s="5">
        <v>120.5</v>
      </c>
      <c r="D511" s="5">
        <v>61.1</v>
      </c>
      <c r="E511" s="3" t="s">
        <v>11</v>
      </c>
      <c r="F511" s="6">
        <v>44454.584722222222</v>
      </c>
    </row>
    <row r="512" spans="1:6" x14ac:dyDescent="0.3">
      <c r="A512" s="3">
        <v>511</v>
      </c>
      <c r="B512" s="4">
        <f t="shared" si="8"/>
        <v>0.50721153846153844</v>
      </c>
      <c r="C512" s="5">
        <v>83.2</v>
      </c>
      <c r="D512" s="5">
        <v>42.2</v>
      </c>
      <c r="E512" s="3" t="s">
        <v>7</v>
      </c>
      <c r="F512" s="6">
        <v>44894.297222222223</v>
      </c>
    </row>
    <row r="513" spans="1:6" x14ac:dyDescent="0.3">
      <c r="A513" s="3">
        <v>512</v>
      </c>
      <c r="B513" s="4">
        <f t="shared" si="8"/>
        <v>0.50740740740740742</v>
      </c>
      <c r="C513" s="5">
        <v>81</v>
      </c>
      <c r="D513" s="5">
        <v>41.1</v>
      </c>
      <c r="E513" s="3" t="s">
        <v>7</v>
      </c>
      <c r="F513" s="6">
        <v>46073.915277777778</v>
      </c>
    </row>
    <row r="514" spans="1:6" x14ac:dyDescent="0.3">
      <c r="A514" s="3">
        <v>513</v>
      </c>
      <c r="B514" s="4">
        <f t="shared" ref="B514:B577" si="9">D514/C514</f>
        <v>0.50805270863836027</v>
      </c>
      <c r="C514" s="5">
        <v>68.3</v>
      </c>
      <c r="D514" s="5">
        <v>34.700000000000003</v>
      </c>
      <c r="E514" s="3" t="s">
        <v>7</v>
      </c>
      <c r="F514" s="6">
        <v>44914.23333333333</v>
      </c>
    </row>
    <row r="515" spans="1:6" x14ac:dyDescent="0.3">
      <c r="A515" s="3">
        <v>514</v>
      </c>
      <c r="B515" s="4">
        <f t="shared" si="9"/>
        <v>0.50959232613908867</v>
      </c>
      <c r="C515" s="5">
        <v>83.4</v>
      </c>
      <c r="D515" s="5">
        <v>42.5</v>
      </c>
      <c r="E515" s="3" t="s">
        <v>7</v>
      </c>
      <c r="F515" s="6">
        <v>46171.372916666667</v>
      </c>
    </row>
    <row r="516" spans="1:6" x14ac:dyDescent="0.3">
      <c r="A516" s="3">
        <v>515</v>
      </c>
      <c r="B516" s="4">
        <f t="shared" si="9"/>
        <v>0.50996015936254979</v>
      </c>
      <c r="C516" s="5">
        <v>75.3</v>
      </c>
      <c r="D516" s="5">
        <v>38.4</v>
      </c>
      <c r="E516" s="3" t="s">
        <v>7</v>
      </c>
      <c r="F516" s="6">
        <v>44809.529166666667</v>
      </c>
    </row>
    <row r="517" spans="1:6" x14ac:dyDescent="0.3">
      <c r="A517" s="3">
        <v>516</v>
      </c>
      <c r="B517" s="4">
        <f t="shared" si="9"/>
        <v>0.51020408163265307</v>
      </c>
      <c r="C517" s="5">
        <v>68.599999999999994</v>
      </c>
      <c r="D517" s="5">
        <v>35</v>
      </c>
      <c r="E517" s="3" t="s">
        <v>11</v>
      </c>
      <c r="F517" s="6">
        <v>45769.611805555563</v>
      </c>
    </row>
    <row r="518" spans="1:6" x14ac:dyDescent="0.3">
      <c r="A518" s="3">
        <v>517</v>
      </c>
      <c r="B518" s="4">
        <f t="shared" si="9"/>
        <v>0.51078167115902962</v>
      </c>
      <c r="C518" s="5">
        <v>74.2</v>
      </c>
      <c r="D518" s="5">
        <v>37.9</v>
      </c>
      <c r="E518" s="3" t="s">
        <v>11</v>
      </c>
      <c r="F518" s="6">
        <v>44525.334027777782</v>
      </c>
    </row>
    <row r="519" spans="1:6" x14ac:dyDescent="0.3">
      <c r="A519" s="3">
        <v>518</v>
      </c>
      <c r="B519" s="4">
        <f t="shared" si="9"/>
        <v>0.51094027202838566</v>
      </c>
      <c r="C519" s="5">
        <v>169.1</v>
      </c>
      <c r="D519" s="5">
        <v>86.4</v>
      </c>
      <c r="E519" s="3" t="s">
        <v>7</v>
      </c>
      <c r="F519" s="6">
        <v>44873.813888888893</v>
      </c>
    </row>
    <row r="520" spans="1:6" x14ac:dyDescent="0.3">
      <c r="A520" s="3">
        <v>519</v>
      </c>
      <c r="B520" s="4">
        <f t="shared" si="9"/>
        <v>0.51143641354071367</v>
      </c>
      <c r="C520" s="5">
        <v>109.3</v>
      </c>
      <c r="D520" s="5">
        <v>55.9</v>
      </c>
      <c r="E520" s="3" t="s">
        <v>7</v>
      </c>
      <c r="F520" s="6">
        <v>45943.357638888891</v>
      </c>
    </row>
    <row r="521" spans="1:6" x14ac:dyDescent="0.3">
      <c r="A521" s="3">
        <v>520</v>
      </c>
      <c r="B521" s="4">
        <f t="shared" si="9"/>
        <v>0.51160862354892211</v>
      </c>
      <c r="C521" s="5">
        <v>120.6</v>
      </c>
      <c r="D521" s="5">
        <v>61.7</v>
      </c>
      <c r="E521" s="3" t="s">
        <v>11</v>
      </c>
      <c r="F521" s="6">
        <v>44686.458333333343</v>
      </c>
    </row>
    <row r="522" spans="1:6" x14ac:dyDescent="0.3">
      <c r="A522" s="3">
        <v>521</v>
      </c>
      <c r="B522" s="4">
        <f t="shared" si="9"/>
        <v>0.51187648456057011</v>
      </c>
      <c r="C522" s="5">
        <v>84.2</v>
      </c>
      <c r="D522" s="5">
        <v>43.1</v>
      </c>
      <c r="E522" s="3" t="s">
        <v>11</v>
      </c>
      <c r="F522" s="6">
        <v>44796.047222222223</v>
      </c>
    </row>
    <row r="523" spans="1:6" x14ac:dyDescent="0.3">
      <c r="A523" s="3">
        <v>522</v>
      </c>
      <c r="B523" s="4">
        <f t="shared" si="9"/>
        <v>0.51188986232790978</v>
      </c>
      <c r="C523" s="5">
        <v>79.900000000000006</v>
      </c>
      <c r="D523" s="5">
        <v>40.9</v>
      </c>
      <c r="E523" s="3" t="s">
        <v>7</v>
      </c>
      <c r="F523" s="6">
        <v>45970.941666666673</v>
      </c>
    </row>
    <row r="524" spans="1:6" x14ac:dyDescent="0.3">
      <c r="A524" s="3">
        <v>523</v>
      </c>
      <c r="B524" s="4">
        <f t="shared" si="9"/>
        <v>0.51201478743068385</v>
      </c>
      <c r="C524" s="5">
        <v>54.1</v>
      </c>
      <c r="D524" s="5">
        <v>27.7</v>
      </c>
      <c r="E524" s="3" t="s">
        <v>7</v>
      </c>
      <c r="F524" s="6">
        <v>45085.463888888888</v>
      </c>
    </row>
    <row r="525" spans="1:6" x14ac:dyDescent="0.3">
      <c r="A525" s="3">
        <v>524</v>
      </c>
      <c r="B525" s="4">
        <f t="shared" si="9"/>
        <v>0.51226993865030668</v>
      </c>
      <c r="C525" s="5">
        <v>65.2</v>
      </c>
      <c r="D525" s="5">
        <v>33.4</v>
      </c>
      <c r="E525" s="3" t="s">
        <v>7</v>
      </c>
      <c r="F525" s="6">
        <v>46112.304861111108</v>
      </c>
    </row>
    <row r="526" spans="1:6" x14ac:dyDescent="0.3">
      <c r="A526" s="3">
        <v>525</v>
      </c>
      <c r="B526" s="4">
        <f t="shared" si="9"/>
        <v>0.51229508196721307</v>
      </c>
      <c r="C526" s="5">
        <v>73.2</v>
      </c>
      <c r="D526" s="5">
        <v>37.5</v>
      </c>
      <c r="E526" s="3" t="s">
        <v>7</v>
      </c>
      <c r="F526" s="6">
        <v>45226.520833333343</v>
      </c>
    </row>
    <row r="527" spans="1:6" x14ac:dyDescent="0.3">
      <c r="A527" s="3">
        <v>526</v>
      </c>
      <c r="B527" s="4">
        <f t="shared" si="9"/>
        <v>0.51245551601423489</v>
      </c>
      <c r="C527" s="5">
        <v>56.2</v>
      </c>
      <c r="D527" s="5">
        <v>28.8</v>
      </c>
      <c r="E527" s="3" t="s">
        <v>11</v>
      </c>
      <c r="F527" s="6">
        <v>45506.773611111108</v>
      </c>
    </row>
    <row r="528" spans="1:6" x14ac:dyDescent="0.3">
      <c r="A528" s="3">
        <v>527</v>
      </c>
      <c r="B528" s="4">
        <f t="shared" si="9"/>
        <v>0.51277683134582619</v>
      </c>
      <c r="C528" s="5">
        <v>58.7</v>
      </c>
      <c r="D528" s="5">
        <v>30.1</v>
      </c>
      <c r="E528" s="3" t="s">
        <v>11</v>
      </c>
      <c r="F528" s="6">
        <v>46111.476388888892</v>
      </c>
    </row>
    <row r="529" spans="1:6" x14ac:dyDescent="0.3">
      <c r="A529" s="3">
        <v>528</v>
      </c>
      <c r="B529" s="4">
        <f t="shared" si="9"/>
        <v>0.51297898640296657</v>
      </c>
      <c r="C529" s="5">
        <v>80.900000000000006</v>
      </c>
      <c r="D529" s="5">
        <v>41.5</v>
      </c>
      <c r="E529" s="3" t="s">
        <v>11</v>
      </c>
      <c r="F529" s="6">
        <v>45231.309027777781</v>
      </c>
    </row>
    <row r="530" spans="1:6" x14ac:dyDescent="0.3">
      <c r="A530" s="3">
        <v>529</v>
      </c>
      <c r="B530" s="4">
        <f t="shared" si="9"/>
        <v>0.51381215469613262</v>
      </c>
      <c r="C530" s="5">
        <v>108.6</v>
      </c>
      <c r="D530" s="5">
        <v>55.8</v>
      </c>
      <c r="E530" s="3" t="s">
        <v>7</v>
      </c>
      <c r="F530" s="6">
        <v>44474.058333333327</v>
      </c>
    </row>
    <row r="531" spans="1:6" x14ac:dyDescent="0.3">
      <c r="A531" s="3">
        <v>530</v>
      </c>
      <c r="B531" s="4">
        <f t="shared" si="9"/>
        <v>0.51381692573402415</v>
      </c>
      <c r="C531" s="5">
        <v>115.8</v>
      </c>
      <c r="D531" s="5">
        <v>59.5</v>
      </c>
      <c r="E531" s="3" t="s">
        <v>7</v>
      </c>
      <c r="F531" s="6">
        <v>44855.556250000001</v>
      </c>
    </row>
    <row r="532" spans="1:6" x14ac:dyDescent="0.3">
      <c r="A532" s="3">
        <v>531</v>
      </c>
      <c r="B532" s="4">
        <f t="shared" si="9"/>
        <v>0.51385041551246535</v>
      </c>
      <c r="C532" s="5">
        <v>72.2</v>
      </c>
      <c r="D532" s="5">
        <v>37.1</v>
      </c>
      <c r="E532" s="3" t="s">
        <v>11</v>
      </c>
      <c r="F532" s="6">
        <v>44547.405555555553</v>
      </c>
    </row>
    <row r="533" spans="1:6" x14ac:dyDescent="0.3">
      <c r="A533" s="3">
        <v>532</v>
      </c>
      <c r="B533" s="4">
        <f t="shared" si="9"/>
        <v>0.51391254968767752</v>
      </c>
      <c r="C533" s="5">
        <v>176.1</v>
      </c>
      <c r="D533" s="5">
        <v>90.5</v>
      </c>
      <c r="E533" s="3" t="s">
        <v>11</v>
      </c>
      <c r="F533" s="6">
        <v>45083.218055555553</v>
      </c>
    </row>
    <row r="534" spans="1:6" x14ac:dyDescent="0.3">
      <c r="A534" s="3">
        <v>533</v>
      </c>
      <c r="B534" s="4">
        <f t="shared" si="9"/>
        <v>0.51423487544483981</v>
      </c>
      <c r="C534" s="5">
        <v>56.2</v>
      </c>
      <c r="D534" s="5">
        <v>28.9</v>
      </c>
      <c r="E534" s="3" t="s">
        <v>11</v>
      </c>
      <c r="F534" s="6">
        <v>46092.829861111109</v>
      </c>
    </row>
    <row r="535" spans="1:6" x14ac:dyDescent="0.3">
      <c r="A535" s="3">
        <v>534</v>
      </c>
      <c r="B535" s="4">
        <f t="shared" si="9"/>
        <v>0.51428571428571423</v>
      </c>
      <c r="C535" s="5">
        <v>91</v>
      </c>
      <c r="D535" s="5">
        <v>46.8</v>
      </c>
      <c r="E535" s="3" t="s">
        <v>7</v>
      </c>
      <c r="F535" s="6">
        <v>44781.019444444442</v>
      </c>
    </row>
    <row r="536" spans="1:6" x14ac:dyDescent="0.3">
      <c r="A536" s="3">
        <v>535</v>
      </c>
      <c r="B536" s="4">
        <f t="shared" si="9"/>
        <v>0.51442786069651747</v>
      </c>
      <c r="C536" s="5">
        <v>100.5</v>
      </c>
      <c r="D536" s="5">
        <v>51.7</v>
      </c>
      <c r="E536" s="3" t="s">
        <v>7</v>
      </c>
      <c r="F536" s="6">
        <v>46007.642361111109</v>
      </c>
    </row>
    <row r="537" spans="1:6" x14ac:dyDescent="0.3">
      <c r="A537" s="3">
        <v>536</v>
      </c>
      <c r="B537" s="4">
        <f t="shared" si="9"/>
        <v>0.5146443514644351</v>
      </c>
      <c r="C537" s="5">
        <v>71.7</v>
      </c>
      <c r="D537" s="5">
        <v>36.9</v>
      </c>
      <c r="E537" s="3" t="s">
        <v>11</v>
      </c>
      <c r="F537" s="6">
        <v>45621.845138888893</v>
      </c>
    </row>
    <row r="538" spans="1:6" x14ac:dyDescent="0.3">
      <c r="A538" s="3">
        <v>537</v>
      </c>
      <c r="B538" s="4">
        <f t="shared" si="9"/>
        <v>0.51523809523809527</v>
      </c>
      <c r="C538" s="5">
        <v>105</v>
      </c>
      <c r="D538" s="5">
        <v>54.1</v>
      </c>
      <c r="E538" s="3" t="s">
        <v>7</v>
      </c>
      <c r="F538" s="6">
        <v>44830.257638888892</v>
      </c>
    </row>
    <row r="539" spans="1:6" x14ac:dyDescent="0.3">
      <c r="A539" s="3">
        <v>538</v>
      </c>
      <c r="B539" s="4">
        <f t="shared" si="9"/>
        <v>0.51550614394382677</v>
      </c>
      <c r="C539" s="5">
        <v>170.9</v>
      </c>
      <c r="D539" s="5">
        <v>88.1</v>
      </c>
      <c r="E539" s="3" t="s">
        <v>7</v>
      </c>
      <c r="F539" s="6">
        <v>44770.517361111109</v>
      </c>
    </row>
    <row r="540" spans="1:6" x14ac:dyDescent="0.3">
      <c r="A540" s="3">
        <v>539</v>
      </c>
      <c r="B540" s="4">
        <f t="shared" si="9"/>
        <v>0.51566265060240968</v>
      </c>
      <c r="C540" s="5">
        <v>124.5</v>
      </c>
      <c r="D540" s="5">
        <v>64.2</v>
      </c>
      <c r="E540" s="3" t="s">
        <v>11</v>
      </c>
      <c r="F540" s="6">
        <v>45128.250694444447</v>
      </c>
    </row>
    <row r="541" spans="1:6" x14ac:dyDescent="0.3">
      <c r="A541" s="3">
        <v>540</v>
      </c>
      <c r="B541" s="4">
        <f t="shared" si="9"/>
        <v>0.51607584501236603</v>
      </c>
      <c r="C541" s="5">
        <v>121.3</v>
      </c>
      <c r="D541" s="5">
        <v>62.6</v>
      </c>
      <c r="E541" s="3" t="s">
        <v>11</v>
      </c>
      <c r="F541" s="6">
        <v>44657.384027777778</v>
      </c>
    </row>
    <row r="542" spans="1:6" x14ac:dyDescent="0.3">
      <c r="A542" s="3">
        <v>541</v>
      </c>
      <c r="B542" s="4">
        <f t="shared" si="9"/>
        <v>0.51632047477744814</v>
      </c>
      <c r="C542" s="5">
        <v>101.1</v>
      </c>
      <c r="D542" s="5">
        <v>52.2</v>
      </c>
      <c r="E542" s="3" t="s">
        <v>7</v>
      </c>
      <c r="F542" s="6">
        <v>44718.643750000003</v>
      </c>
    </row>
    <row r="543" spans="1:6" x14ac:dyDescent="0.3">
      <c r="A543" s="3">
        <v>542</v>
      </c>
      <c r="B543" s="4">
        <f t="shared" si="9"/>
        <v>0.51653261840929399</v>
      </c>
      <c r="C543" s="5">
        <v>111.9</v>
      </c>
      <c r="D543" s="5">
        <v>57.8</v>
      </c>
      <c r="E543" s="3" t="s">
        <v>7</v>
      </c>
      <c r="F543" s="6">
        <v>45028.495833333327</v>
      </c>
    </row>
    <row r="544" spans="1:6" x14ac:dyDescent="0.3">
      <c r="A544" s="3">
        <v>543</v>
      </c>
      <c r="B544" s="4">
        <f t="shared" si="9"/>
        <v>0.51679999999999993</v>
      </c>
      <c r="C544" s="5">
        <v>62.5</v>
      </c>
      <c r="D544" s="5">
        <v>32.299999999999997</v>
      </c>
      <c r="E544" s="3" t="s">
        <v>7</v>
      </c>
      <c r="F544" s="6">
        <v>45281.5625</v>
      </c>
    </row>
    <row r="545" spans="1:6" x14ac:dyDescent="0.3">
      <c r="A545" s="3">
        <v>544</v>
      </c>
      <c r="B545" s="4">
        <f t="shared" si="9"/>
        <v>0.51696065128900948</v>
      </c>
      <c r="C545" s="5">
        <v>73.7</v>
      </c>
      <c r="D545" s="5">
        <v>38.1</v>
      </c>
      <c r="E545" s="3" t="s">
        <v>11</v>
      </c>
      <c r="F545" s="6">
        <v>44446.070138888892</v>
      </c>
    </row>
    <row r="546" spans="1:6" x14ac:dyDescent="0.3">
      <c r="A546" s="3">
        <v>545</v>
      </c>
      <c r="B546" s="4">
        <f t="shared" si="9"/>
        <v>0.51698113207547169</v>
      </c>
      <c r="C546" s="5">
        <v>132.5</v>
      </c>
      <c r="D546" s="5">
        <v>68.5</v>
      </c>
      <c r="E546" s="3" t="s">
        <v>7</v>
      </c>
      <c r="F546" s="6">
        <v>45259.64166666667</v>
      </c>
    </row>
    <row r="547" spans="1:6" x14ac:dyDescent="0.3">
      <c r="A547" s="3">
        <v>546</v>
      </c>
      <c r="B547" s="4">
        <f t="shared" si="9"/>
        <v>0.51771117166212532</v>
      </c>
      <c r="C547" s="5">
        <v>110.1</v>
      </c>
      <c r="D547" s="5">
        <v>57</v>
      </c>
      <c r="E547" s="3" t="s">
        <v>11</v>
      </c>
      <c r="F547" s="6">
        <v>44882.644444444442</v>
      </c>
    </row>
    <row r="548" spans="1:6" x14ac:dyDescent="0.3">
      <c r="A548" s="3">
        <v>547</v>
      </c>
      <c r="B548" s="4">
        <f t="shared" si="9"/>
        <v>0.51823812801101166</v>
      </c>
      <c r="C548" s="5">
        <v>145.30000000000001</v>
      </c>
      <c r="D548" s="5">
        <v>75.3</v>
      </c>
      <c r="E548" s="3" t="s">
        <v>11</v>
      </c>
      <c r="F548" s="6">
        <v>44809.43472222222</v>
      </c>
    </row>
    <row r="549" spans="1:6" x14ac:dyDescent="0.3">
      <c r="A549" s="3">
        <v>548</v>
      </c>
      <c r="B549" s="4">
        <f t="shared" si="9"/>
        <v>0.51851851851851849</v>
      </c>
      <c r="C549" s="5">
        <v>108</v>
      </c>
      <c r="D549" s="5">
        <v>56</v>
      </c>
      <c r="E549" s="3" t="s">
        <v>11</v>
      </c>
      <c r="F549" s="6">
        <v>44963.529166666667</v>
      </c>
    </row>
    <row r="550" spans="1:6" x14ac:dyDescent="0.3">
      <c r="A550" s="3">
        <v>549</v>
      </c>
      <c r="B550" s="4">
        <f t="shared" si="9"/>
        <v>0.51859649122807017</v>
      </c>
      <c r="C550" s="5">
        <v>142.5</v>
      </c>
      <c r="D550" s="5">
        <v>73.900000000000006</v>
      </c>
      <c r="E550" s="3" t="s">
        <v>11</v>
      </c>
      <c r="F550" s="6">
        <v>44631.515277777777</v>
      </c>
    </row>
    <row r="551" spans="1:6" x14ac:dyDescent="0.3">
      <c r="A551" s="3">
        <v>550</v>
      </c>
      <c r="B551" s="4">
        <f t="shared" si="9"/>
        <v>0.51945854483925546</v>
      </c>
      <c r="C551" s="5">
        <v>118.2</v>
      </c>
      <c r="D551" s="5">
        <v>61.4</v>
      </c>
      <c r="E551" s="3" t="s">
        <v>11</v>
      </c>
      <c r="F551" s="6">
        <v>44806.019444444442</v>
      </c>
    </row>
    <row r="552" spans="1:6" x14ac:dyDescent="0.3">
      <c r="A552" s="3">
        <v>551</v>
      </c>
      <c r="B552" s="4">
        <f t="shared" si="9"/>
        <v>0.52080344332855089</v>
      </c>
      <c r="C552" s="5">
        <v>139.4</v>
      </c>
      <c r="D552" s="5">
        <v>72.599999999999994</v>
      </c>
      <c r="E552" s="3" t="s">
        <v>11</v>
      </c>
      <c r="F552" s="6">
        <v>44804.227083333331</v>
      </c>
    </row>
    <row r="553" spans="1:6" x14ac:dyDescent="0.3">
      <c r="A553" s="3">
        <v>552</v>
      </c>
      <c r="B553" s="4">
        <f t="shared" si="9"/>
        <v>0.52093973442288044</v>
      </c>
      <c r="C553" s="5">
        <v>195.8</v>
      </c>
      <c r="D553" s="5">
        <v>102</v>
      </c>
      <c r="E553" s="3" t="s">
        <v>7</v>
      </c>
      <c r="F553" s="6">
        <v>44909.037499999999</v>
      </c>
    </row>
    <row r="554" spans="1:6" x14ac:dyDescent="0.3">
      <c r="A554" s="3">
        <v>553</v>
      </c>
      <c r="B554" s="4">
        <f t="shared" si="9"/>
        <v>0.52124891587163924</v>
      </c>
      <c r="C554" s="5">
        <v>115.3</v>
      </c>
      <c r="D554" s="5">
        <v>60.1</v>
      </c>
      <c r="E554" s="3" t="s">
        <v>11</v>
      </c>
      <c r="F554" s="6">
        <v>45289.290277777778</v>
      </c>
    </row>
    <row r="555" spans="1:6" x14ac:dyDescent="0.3">
      <c r="A555" s="3">
        <v>554</v>
      </c>
      <c r="B555" s="4">
        <f t="shared" si="9"/>
        <v>0.52153110047846896</v>
      </c>
      <c r="C555" s="5">
        <v>62.7</v>
      </c>
      <c r="D555" s="5">
        <v>32.700000000000003</v>
      </c>
      <c r="E555" s="3" t="s">
        <v>11</v>
      </c>
      <c r="F555" s="6">
        <v>44652.454861111109</v>
      </c>
    </row>
    <row r="556" spans="1:6" x14ac:dyDescent="0.3">
      <c r="A556" s="3">
        <v>555</v>
      </c>
      <c r="B556" s="4">
        <f t="shared" si="9"/>
        <v>0.52173913043478259</v>
      </c>
      <c r="C556" s="5">
        <v>59.8</v>
      </c>
      <c r="D556" s="5">
        <v>31.2</v>
      </c>
      <c r="E556" s="3" t="s">
        <v>11</v>
      </c>
      <c r="F556" s="6">
        <v>46213.674305555563</v>
      </c>
    </row>
    <row r="557" spans="1:6" x14ac:dyDescent="0.3">
      <c r="A557" s="3">
        <v>556</v>
      </c>
      <c r="B557" s="4">
        <f t="shared" si="9"/>
        <v>0.52272727272727271</v>
      </c>
      <c r="C557" s="5">
        <v>79.2</v>
      </c>
      <c r="D557" s="5">
        <v>41.4</v>
      </c>
      <c r="E557" s="3" t="s">
        <v>7</v>
      </c>
      <c r="F557" s="6">
        <v>45525.325694444437</v>
      </c>
    </row>
    <row r="558" spans="1:6" x14ac:dyDescent="0.3">
      <c r="A558" s="3">
        <v>557</v>
      </c>
      <c r="B558" s="4">
        <f t="shared" si="9"/>
        <v>0.52306425041186155</v>
      </c>
      <c r="C558" s="5">
        <v>121.4</v>
      </c>
      <c r="D558" s="5">
        <v>63.5</v>
      </c>
      <c r="E558" s="3" t="s">
        <v>11</v>
      </c>
      <c r="F558" s="6">
        <v>44866.67083333333</v>
      </c>
    </row>
    <row r="559" spans="1:6" x14ac:dyDescent="0.3">
      <c r="A559" s="3">
        <v>558</v>
      </c>
      <c r="B559" s="4">
        <f t="shared" si="9"/>
        <v>0.52314410480349349</v>
      </c>
      <c r="C559" s="5">
        <v>114.5</v>
      </c>
      <c r="D559" s="5">
        <v>59.9</v>
      </c>
      <c r="E559" s="3" t="s">
        <v>11</v>
      </c>
      <c r="F559" s="6">
        <v>45175.249305555553</v>
      </c>
    </row>
    <row r="560" spans="1:6" x14ac:dyDescent="0.3">
      <c r="A560" s="3">
        <v>559</v>
      </c>
      <c r="B560" s="4">
        <f t="shared" si="9"/>
        <v>0.52375809935205186</v>
      </c>
      <c r="C560" s="5">
        <v>92.6</v>
      </c>
      <c r="D560" s="5">
        <v>48.5</v>
      </c>
      <c r="E560" s="3" t="s">
        <v>7</v>
      </c>
      <c r="F560" s="6">
        <v>45078.334027777782</v>
      </c>
    </row>
    <row r="561" spans="1:6" x14ac:dyDescent="0.3">
      <c r="A561" s="3">
        <v>560</v>
      </c>
      <c r="B561" s="4">
        <f t="shared" si="9"/>
        <v>0.52380952380952384</v>
      </c>
      <c r="C561" s="5">
        <v>54.6</v>
      </c>
      <c r="D561" s="5">
        <v>28.6</v>
      </c>
      <c r="E561" s="3" t="s">
        <v>11</v>
      </c>
      <c r="F561" s="6">
        <v>45870.029861111107</v>
      </c>
    </row>
    <row r="562" spans="1:6" x14ac:dyDescent="0.3">
      <c r="A562" s="3">
        <v>561</v>
      </c>
      <c r="B562" s="4">
        <f t="shared" si="9"/>
        <v>0.52475247524752477</v>
      </c>
      <c r="C562" s="5">
        <v>131.30000000000001</v>
      </c>
      <c r="D562" s="5">
        <v>68.900000000000006</v>
      </c>
      <c r="E562" s="3" t="s">
        <v>7</v>
      </c>
      <c r="F562" s="6">
        <v>44715.529861111107</v>
      </c>
    </row>
    <row r="563" spans="1:6" x14ac:dyDescent="0.3">
      <c r="A563" s="3">
        <v>562</v>
      </c>
      <c r="B563" s="4">
        <f t="shared" si="9"/>
        <v>0.52478134110787178</v>
      </c>
      <c r="C563" s="5">
        <v>137.19999999999999</v>
      </c>
      <c r="D563" s="5">
        <v>72</v>
      </c>
      <c r="E563" s="3" t="s">
        <v>11</v>
      </c>
      <c r="F563" s="6">
        <v>45397.46597222222</v>
      </c>
    </row>
    <row r="564" spans="1:6" x14ac:dyDescent="0.3">
      <c r="A564" s="3">
        <v>563</v>
      </c>
      <c r="B564" s="4">
        <f t="shared" si="9"/>
        <v>0.5249597423510467</v>
      </c>
      <c r="C564" s="5">
        <v>186.3</v>
      </c>
      <c r="D564" s="5">
        <v>97.8</v>
      </c>
      <c r="E564" s="3" t="s">
        <v>7</v>
      </c>
      <c r="F564" s="6">
        <v>44813.520833333343</v>
      </c>
    </row>
    <row r="565" spans="1:6" x14ac:dyDescent="0.3">
      <c r="A565" s="3">
        <v>564</v>
      </c>
      <c r="B565" s="4">
        <f t="shared" si="9"/>
        <v>0.52500000000000002</v>
      </c>
      <c r="C565" s="5">
        <v>60</v>
      </c>
      <c r="D565" s="5">
        <v>31.5</v>
      </c>
      <c r="E565" s="3" t="s">
        <v>7</v>
      </c>
      <c r="F565" s="6">
        <v>45986.506249999999</v>
      </c>
    </row>
    <row r="566" spans="1:6" x14ac:dyDescent="0.3">
      <c r="A566" s="3">
        <v>565</v>
      </c>
      <c r="B566" s="4">
        <f t="shared" si="9"/>
        <v>0.52511961722488043</v>
      </c>
      <c r="C566" s="5">
        <v>83.6</v>
      </c>
      <c r="D566" s="5">
        <v>43.9</v>
      </c>
      <c r="E566" s="3" t="s">
        <v>11</v>
      </c>
      <c r="F566" s="6">
        <v>44509.834722222222</v>
      </c>
    </row>
    <row r="567" spans="1:6" x14ac:dyDescent="0.3">
      <c r="A567" s="3">
        <v>566</v>
      </c>
      <c r="B567" s="4">
        <f t="shared" si="9"/>
        <v>0.52517985611510798</v>
      </c>
      <c r="C567" s="5">
        <v>97.3</v>
      </c>
      <c r="D567" s="5">
        <v>51.1</v>
      </c>
      <c r="E567" s="3" t="s">
        <v>7</v>
      </c>
      <c r="F567" s="6">
        <v>45583.667361111111</v>
      </c>
    </row>
    <row r="568" spans="1:6" x14ac:dyDescent="0.3">
      <c r="A568" s="3">
        <v>567</v>
      </c>
      <c r="B568" s="4">
        <f t="shared" si="9"/>
        <v>0.52539062499999989</v>
      </c>
      <c r="C568" s="5">
        <v>51.2</v>
      </c>
      <c r="D568" s="5">
        <v>26.9</v>
      </c>
      <c r="E568" s="3" t="s">
        <v>11</v>
      </c>
      <c r="F568" s="6">
        <v>45245.5625</v>
      </c>
    </row>
    <row r="569" spans="1:6" x14ac:dyDescent="0.3">
      <c r="A569" s="3">
        <v>568</v>
      </c>
      <c r="B569" s="4">
        <f t="shared" si="9"/>
        <v>0.52539912917271403</v>
      </c>
      <c r="C569" s="5">
        <v>68.900000000000006</v>
      </c>
      <c r="D569" s="5">
        <v>36.200000000000003</v>
      </c>
      <c r="E569" s="3" t="s">
        <v>7</v>
      </c>
      <c r="F569" s="6">
        <v>45210.520833333343</v>
      </c>
    </row>
    <row r="570" spans="1:6" x14ac:dyDescent="0.3">
      <c r="A570" s="3">
        <v>569</v>
      </c>
      <c r="B570" s="4">
        <f t="shared" si="9"/>
        <v>0.52551724137931033</v>
      </c>
      <c r="C570" s="5">
        <v>145</v>
      </c>
      <c r="D570" s="5">
        <v>76.2</v>
      </c>
      <c r="E570" s="3" t="s">
        <v>7</v>
      </c>
      <c r="F570" s="6">
        <v>44846.54791666667</v>
      </c>
    </row>
    <row r="571" spans="1:6" x14ac:dyDescent="0.3">
      <c r="A571" s="3">
        <v>570</v>
      </c>
      <c r="B571" s="4">
        <f t="shared" si="9"/>
        <v>0.52598752598752596</v>
      </c>
      <c r="C571" s="5">
        <v>96.2</v>
      </c>
      <c r="D571" s="5">
        <v>50.6</v>
      </c>
      <c r="E571" s="3" t="s">
        <v>7</v>
      </c>
      <c r="F571" s="6">
        <v>44560.395833333343</v>
      </c>
    </row>
    <row r="572" spans="1:6" x14ac:dyDescent="0.3">
      <c r="A572" s="3">
        <v>571</v>
      </c>
      <c r="B572" s="4">
        <f t="shared" si="9"/>
        <v>0.52761627906976738</v>
      </c>
      <c r="C572" s="5">
        <v>68.8</v>
      </c>
      <c r="D572" s="5">
        <v>36.299999999999997</v>
      </c>
      <c r="E572" s="3" t="s">
        <v>7</v>
      </c>
      <c r="F572" s="6">
        <v>44684.261805555558</v>
      </c>
    </row>
    <row r="573" spans="1:6" x14ac:dyDescent="0.3">
      <c r="A573" s="3">
        <v>572</v>
      </c>
      <c r="B573" s="4">
        <f t="shared" si="9"/>
        <v>0.52813067150635207</v>
      </c>
      <c r="C573" s="5">
        <v>110.2</v>
      </c>
      <c r="D573" s="5">
        <v>58.2</v>
      </c>
      <c r="E573" s="3" t="s">
        <v>11</v>
      </c>
      <c r="F573" s="6">
        <v>45461.000694444447</v>
      </c>
    </row>
    <row r="574" spans="1:6" x14ac:dyDescent="0.3">
      <c r="A574" s="3">
        <v>573</v>
      </c>
      <c r="B574" s="4">
        <f t="shared" si="9"/>
        <v>0.52842809364548504</v>
      </c>
      <c r="C574" s="5">
        <v>119.6</v>
      </c>
      <c r="D574" s="5">
        <v>63.2</v>
      </c>
      <c r="E574" s="3" t="s">
        <v>7</v>
      </c>
      <c r="F574" s="6">
        <v>45076.75277777778</v>
      </c>
    </row>
    <row r="575" spans="1:6" x14ac:dyDescent="0.3">
      <c r="A575" s="3">
        <v>574</v>
      </c>
      <c r="B575" s="4">
        <f t="shared" si="9"/>
        <v>0.52950075642965211</v>
      </c>
      <c r="C575" s="5">
        <v>66.099999999999994</v>
      </c>
      <c r="D575" s="5">
        <v>35</v>
      </c>
      <c r="E575" s="3" t="s">
        <v>7</v>
      </c>
      <c r="F575" s="6">
        <v>45247.609027777777</v>
      </c>
    </row>
    <row r="576" spans="1:6" x14ac:dyDescent="0.3">
      <c r="A576" s="3">
        <v>575</v>
      </c>
      <c r="B576" s="4">
        <f t="shared" si="9"/>
        <v>0.5298013245033113</v>
      </c>
      <c r="C576" s="5">
        <v>60.4</v>
      </c>
      <c r="D576" s="5">
        <v>32</v>
      </c>
      <c r="E576" s="3" t="s">
        <v>11</v>
      </c>
      <c r="F576" s="6">
        <v>45947.463194444441</v>
      </c>
    </row>
    <row r="577" spans="1:6" x14ac:dyDescent="0.3">
      <c r="A577" s="3">
        <v>576</v>
      </c>
      <c r="B577" s="4">
        <f t="shared" si="9"/>
        <v>0.53082191780821919</v>
      </c>
      <c r="C577" s="5">
        <v>87.6</v>
      </c>
      <c r="D577" s="5">
        <v>46.5</v>
      </c>
      <c r="E577" s="3" t="s">
        <v>7</v>
      </c>
      <c r="F577" s="6">
        <v>45762.59652777778</v>
      </c>
    </row>
    <row r="578" spans="1:6" x14ac:dyDescent="0.3">
      <c r="A578" s="3">
        <v>577</v>
      </c>
      <c r="B578" s="4">
        <f t="shared" ref="B578:B641" si="10">D578/C578</f>
        <v>0.53089005235602094</v>
      </c>
      <c r="C578" s="5">
        <v>191</v>
      </c>
      <c r="D578" s="5">
        <v>101.4</v>
      </c>
      <c r="E578" s="3" t="s">
        <v>7</v>
      </c>
      <c r="F578" s="6">
        <v>44857.972916666673</v>
      </c>
    </row>
    <row r="579" spans="1:6" x14ac:dyDescent="0.3">
      <c r="A579" s="3">
        <v>578</v>
      </c>
      <c r="B579" s="4">
        <f t="shared" si="10"/>
        <v>0.5308988764044944</v>
      </c>
      <c r="C579" s="5">
        <v>106.8</v>
      </c>
      <c r="D579" s="5">
        <v>56.7</v>
      </c>
      <c r="E579" s="3" t="s">
        <v>11</v>
      </c>
      <c r="F579" s="6">
        <v>44826.606249999997</v>
      </c>
    </row>
    <row r="580" spans="1:6" x14ac:dyDescent="0.3">
      <c r="A580" s="3">
        <v>579</v>
      </c>
      <c r="B580" s="4">
        <f t="shared" si="10"/>
        <v>0.5310880829015544</v>
      </c>
      <c r="C580" s="5">
        <v>77.2</v>
      </c>
      <c r="D580" s="5">
        <v>41</v>
      </c>
      <c r="E580" s="3" t="s">
        <v>7</v>
      </c>
      <c r="F580" s="6">
        <v>45411.384722222218</v>
      </c>
    </row>
    <row r="581" spans="1:6" x14ac:dyDescent="0.3">
      <c r="A581" s="3">
        <v>580</v>
      </c>
      <c r="B581" s="4">
        <f t="shared" si="10"/>
        <v>0.53120665742024964</v>
      </c>
      <c r="C581" s="5">
        <v>72.099999999999994</v>
      </c>
      <c r="D581" s="5">
        <v>38.299999999999997</v>
      </c>
      <c r="E581" s="3" t="s">
        <v>7</v>
      </c>
      <c r="F581" s="6">
        <v>45946.286805555559</v>
      </c>
    </row>
    <row r="582" spans="1:6" x14ac:dyDescent="0.3">
      <c r="A582" s="3">
        <v>581</v>
      </c>
      <c r="B582" s="4">
        <f t="shared" si="10"/>
        <v>0.53142857142857147</v>
      </c>
      <c r="C582" s="5">
        <v>70</v>
      </c>
      <c r="D582" s="5">
        <v>37.200000000000003</v>
      </c>
      <c r="E582" s="3" t="s">
        <v>11</v>
      </c>
      <c r="F582" s="6">
        <v>44469.803472222222</v>
      </c>
    </row>
    <row r="583" spans="1:6" x14ac:dyDescent="0.3">
      <c r="A583" s="3">
        <v>582</v>
      </c>
      <c r="B583" s="4">
        <f t="shared" si="10"/>
        <v>0.53154084798345391</v>
      </c>
      <c r="C583" s="5">
        <v>96.7</v>
      </c>
      <c r="D583" s="5">
        <v>51.4</v>
      </c>
      <c r="E583" s="3" t="s">
        <v>7</v>
      </c>
      <c r="F583" s="6">
        <v>45041.295138888891</v>
      </c>
    </row>
    <row r="584" spans="1:6" x14ac:dyDescent="0.3">
      <c r="A584" s="3">
        <v>583</v>
      </c>
      <c r="B584" s="4">
        <f t="shared" si="10"/>
        <v>0.53207964601769908</v>
      </c>
      <c r="C584" s="5">
        <v>90.4</v>
      </c>
      <c r="D584" s="5">
        <v>48.1</v>
      </c>
      <c r="E584" s="3" t="s">
        <v>11</v>
      </c>
      <c r="F584" s="6">
        <v>45037.553472222222</v>
      </c>
    </row>
    <row r="585" spans="1:6" x14ac:dyDescent="0.3">
      <c r="A585" s="3">
        <v>584</v>
      </c>
      <c r="B585" s="4">
        <f t="shared" si="10"/>
        <v>0.53275862068965518</v>
      </c>
      <c r="C585" s="5">
        <v>58</v>
      </c>
      <c r="D585" s="5">
        <v>30.9</v>
      </c>
      <c r="E585" s="3" t="s">
        <v>7</v>
      </c>
      <c r="F585" s="6">
        <v>44448.20208333333</v>
      </c>
    </row>
    <row r="586" spans="1:6" x14ac:dyDescent="0.3">
      <c r="A586" s="3">
        <v>585</v>
      </c>
      <c r="B586" s="4">
        <f t="shared" si="10"/>
        <v>0.53297682709447414</v>
      </c>
      <c r="C586" s="5">
        <v>56.1</v>
      </c>
      <c r="D586" s="5">
        <v>29.9</v>
      </c>
      <c r="E586" s="3" t="s">
        <v>11</v>
      </c>
      <c r="F586" s="6">
        <v>45006.488194444442</v>
      </c>
    </row>
    <row r="587" spans="1:6" x14ac:dyDescent="0.3">
      <c r="A587" s="3">
        <v>586</v>
      </c>
      <c r="B587" s="4">
        <f t="shared" si="10"/>
        <v>0.53421859039836561</v>
      </c>
      <c r="C587" s="5">
        <v>97.9</v>
      </c>
      <c r="D587" s="5">
        <v>52.3</v>
      </c>
      <c r="E587" s="3" t="s">
        <v>7</v>
      </c>
      <c r="F587" s="6">
        <v>45252.368750000001</v>
      </c>
    </row>
    <row r="588" spans="1:6" x14ac:dyDescent="0.3">
      <c r="A588" s="3">
        <v>587</v>
      </c>
      <c r="B588" s="4">
        <f t="shared" si="10"/>
        <v>0.53457172342621251</v>
      </c>
      <c r="C588" s="5">
        <v>96.9</v>
      </c>
      <c r="D588" s="5">
        <v>51.8</v>
      </c>
      <c r="E588" s="3" t="s">
        <v>7</v>
      </c>
      <c r="F588" s="6">
        <v>46252.303472222222</v>
      </c>
    </row>
    <row r="589" spans="1:6" x14ac:dyDescent="0.3">
      <c r="A589" s="3">
        <v>588</v>
      </c>
      <c r="B589" s="4">
        <f t="shared" si="10"/>
        <v>0.53519313304721028</v>
      </c>
      <c r="C589" s="5">
        <v>233</v>
      </c>
      <c r="D589" s="5">
        <v>124.7</v>
      </c>
      <c r="E589" s="3" t="s">
        <v>11</v>
      </c>
      <c r="F589" s="6">
        <v>45135.520833333343</v>
      </c>
    </row>
    <row r="590" spans="1:6" x14ac:dyDescent="0.3">
      <c r="A590" s="3">
        <v>589</v>
      </c>
      <c r="B590" s="4">
        <f t="shared" si="10"/>
        <v>0.53594080338266392</v>
      </c>
      <c r="C590" s="5">
        <v>94.6</v>
      </c>
      <c r="D590" s="5">
        <v>50.7</v>
      </c>
      <c r="E590" s="3" t="s">
        <v>7</v>
      </c>
      <c r="F590" s="6">
        <v>45783.671527777777</v>
      </c>
    </row>
    <row r="591" spans="1:6" x14ac:dyDescent="0.3">
      <c r="A591" s="3">
        <v>590</v>
      </c>
      <c r="B591" s="4">
        <f t="shared" si="10"/>
        <v>0.53642857142857137</v>
      </c>
      <c r="C591" s="5">
        <v>140</v>
      </c>
      <c r="D591" s="5">
        <v>75.099999999999994</v>
      </c>
      <c r="E591" s="3" t="s">
        <v>11</v>
      </c>
      <c r="F591" s="6">
        <v>45918.459027777782</v>
      </c>
    </row>
    <row r="592" spans="1:6" x14ac:dyDescent="0.3">
      <c r="A592" s="3">
        <v>591</v>
      </c>
      <c r="B592" s="4">
        <f t="shared" si="10"/>
        <v>0.53763440860215062</v>
      </c>
      <c r="C592" s="5">
        <v>55.8</v>
      </c>
      <c r="D592" s="5">
        <v>30</v>
      </c>
      <c r="E592" s="3" t="s">
        <v>11</v>
      </c>
      <c r="F592" s="6">
        <v>44719.1875</v>
      </c>
    </row>
    <row r="593" spans="1:6" x14ac:dyDescent="0.3">
      <c r="A593" s="3">
        <v>592</v>
      </c>
      <c r="B593" s="4">
        <f t="shared" si="10"/>
        <v>0.53789279112754163</v>
      </c>
      <c r="C593" s="5">
        <v>108.2</v>
      </c>
      <c r="D593" s="5">
        <v>58.2</v>
      </c>
      <c r="E593" s="3" t="s">
        <v>11</v>
      </c>
      <c r="F593" s="6">
        <v>44852.341666666667</v>
      </c>
    </row>
    <row r="594" spans="1:6" x14ac:dyDescent="0.3">
      <c r="A594" s="3">
        <v>593</v>
      </c>
      <c r="B594" s="4">
        <f t="shared" si="10"/>
        <v>0.5379213483146067</v>
      </c>
      <c r="C594" s="5">
        <v>71.2</v>
      </c>
      <c r="D594" s="5">
        <v>38.299999999999997</v>
      </c>
      <c r="E594" s="3" t="s">
        <v>7</v>
      </c>
      <c r="F594" s="6">
        <v>45358.103472222218</v>
      </c>
    </row>
    <row r="595" spans="1:6" x14ac:dyDescent="0.3">
      <c r="A595" s="3">
        <v>594</v>
      </c>
      <c r="B595" s="4">
        <f t="shared" si="10"/>
        <v>0.53810975609756095</v>
      </c>
      <c r="C595" s="5">
        <v>65.599999999999994</v>
      </c>
      <c r="D595" s="5">
        <v>35.299999999999997</v>
      </c>
      <c r="E595" s="3" t="s">
        <v>11</v>
      </c>
      <c r="F595" s="6">
        <v>46105.466666666667</v>
      </c>
    </row>
    <row r="596" spans="1:6" x14ac:dyDescent="0.3">
      <c r="A596" s="3">
        <v>595</v>
      </c>
      <c r="B596" s="4">
        <f t="shared" si="10"/>
        <v>0.53981106612685559</v>
      </c>
      <c r="C596" s="5">
        <v>74.099999999999994</v>
      </c>
      <c r="D596" s="5">
        <v>40</v>
      </c>
      <c r="E596" s="3" t="s">
        <v>7</v>
      </c>
      <c r="F596" s="6">
        <v>46233.538888888892</v>
      </c>
    </row>
    <row r="597" spans="1:6" x14ac:dyDescent="0.3">
      <c r="A597" s="3">
        <v>596</v>
      </c>
      <c r="B597" s="4">
        <f t="shared" si="10"/>
        <v>0.54014598540145986</v>
      </c>
      <c r="C597" s="5">
        <v>68.5</v>
      </c>
      <c r="D597" s="5">
        <v>37</v>
      </c>
      <c r="E597" s="3" t="s">
        <v>7</v>
      </c>
      <c r="F597" s="6">
        <v>45005.294444444437</v>
      </c>
    </row>
    <row r="598" spans="1:6" x14ac:dyDescent="0.3">
      <c r="A598" s="3">
        <v>597</v>
      </c>
      <c r="B598" s="4">
        <f t="shared" si="10"/>
        <v>0.54022988505747127</v>
      </c>
      <c r="C598" s="5">
        <v>78.3</v>
      </c>
      <c r="D598" s="5">
        <v>42.3</v>
      </c>
      <c r="E598" s="3" t="s">
        <v>11</v>
      </c>
      <c r="F598" s="6">
        <v>46050.302083333343</v>
      </c>
    </row>
    <row r="599" spans="1:6" x14ac:dyDescent="0.3">
      <c r="A599" s="3">
        <v>598</v>
      </c>
      <c r="B599" s="4">
        <f t="shared" si="10"/>
        <v>0.54027777777777775</v>
      </c>
      <c r="C599" s="5">
        <v>72</v>
      </c>
      <c r="D599" s="5">
        <v>38.9</v>
      </c>
      <c r="E599" s="3" t="s">
        <v>11</v>
      </c>
      <c r="F599" s="6">
        <v>44785.25</v>
      </c>
    </row>
    <row r="600" spans="1:6" x14ac:dyDescent="0.3">
      <c r="A600" s="3">
        <v>599</v>
      </c>
      <c r="B600" s="4">
        <f t="shared" si="10"/>
        <v>0.54083204930662554</v>
      </c>
      <c r="C600" s="5">
        <v>64.900000000000006</v>
      </c>
      <c r="D600" s="5">
        <v>35.1</v>
      </c>
      <c r="E600" s="3" t="s">
        <v>11</v>
      </c>
      <c r="F600" s="6">
        <v>45419.572222222218</v>
      </c>
    </row>
    <row r="601" spans="1:6" x14ac:dyDescent="0.3">
      <c r="A601" s="3">
        <v>600</v>
      </c>
      <c r="B601" s="4">
        <f t="shared" si="10"/>
        <v>0.54103053435114512</v>
      </c>
      <c r="C601" s="5">
        <v>209.6</v>
      </c>
      <c r="D601" s="5">
        <v>113.4</v>
      </c>
      <c r="E601" s="3" t="s">
        <v>11</v>
      </c>
      <c r="F601" s="6">
        <v>44834.584027777782</v>
      </c>
    </row>
    <row r="602" spans="1:6" x14ac:dyDescent="0.3">
      <c r="A602" s="3">
        <v>601</v>
      </c>
      <c r="B602" s="4">
        <f t="shared" si="10"/>
        <v>0.5415986949429038</v>
      </c>
      <c r="C602" s="5">
        <v>122.6</v>
      </c>
      <c r="D602" s="5">
        <v>66.400000000000006</v>
      </c>
      <c r="E602" s="3" t="s">
        <v>7</v>
      </c>
      <c r="F602" s="6">
        <v>46098.255555555559</v>
      </c>
    </row>
    <row r="603" spans="1:6" x14ac:dyDescent="0.3">
      <c r="A603" s="3">
        <v>602</v>
      </c>
      <c r="B603" s="4">
        <f t="shared" si="10"/>
        <v>0.54199328107502798</v>
      </c>
      <c r="C603" s="5">
        <v>89.3</v>
      </c>
      <c r="D603" s="5">
        <v>48.4</v>
      </c>
      <c r="E603" s="3" t="s">
        <v>11</v>
      </c>
      <c r="F603" s="6">
        <v>44456.361805555563</v>
      </c>
    </row>
    <row r="604" spans="1:6" x14ac:dyDescent="0.3">
      <c r="A604" s="3">
        <v>603</v>
      </c>
      <c r="B604" s="4">
        <f t="shared" si="10"/>
        <v>0.54314159292035391</v>
      </c>
      <c r="C604" s="5">
        <v>90.4</v>
      </c>
      <c r="D604" s="5">
        <v>49.1</v>
      </c>
      <c r="E604" s="3" t="s">
        <v>7</v>
      </c>
      <c r="F604" s="6">
        <v>45013.397222222222</v>
      </c>
    </row>
    <row r="605" spans="1:6" x14ac:dyDescent="0.3">
      <c r="A605" s="3">
        <v>604</v>
      </c>
      <c r="B605" s="4">
        <f t="shared" si="10"/>
        <v>0.54324734446130496</v>
      </c>
      <c r="C605" s="5">
        <v>65.900000000000006</v>
      </c>
      <c r="D605" s="5">
        <v>35.799999999999997</v>
      </c>
      <c r="E605" s="3" t="s">
        <v>7</v>
      </c>
      <c r="F605" s="6">
        <v>45957.630555555559</v>
      </c>
    </row>
    <row r="606" spans="1:6" x14ac:dyDescent="0.3">
      <c r="A606" s="3">
        <v>605</v>
      </c>
      <c r="B606" s="4">
        <f t="shared" si="10"/>
        <v>0.54434782608695653</v>
      </c>
      <c r="C606" s="5">
        <v>57.5</v>
      </c>
      <c r="D606" s="5">
        <v>31.3</v>
      </c>
      <c r="E606" s="3" t="s">
        <v>11</v>
      </c>
      <c r="F606" s="6">
        <v>45862.59375</v>
      </c>
    </row>
    <row r="607" spans="1:6" x14ac:dyDescent="0.3">
      <c r="A607" s="3">
        <v>606</v>
      </c>
      <c r="B607" s="4">
        <f t="shared" si="10"/>
        <v>0.54519505233111321</v>
      </c>
      <c r="C607" s="5">
        <v>105.1</v>
      </c>
      <c r="D607" s="5">
        <v>57.3</v>
      </c>
      <c r="E607" s="3" t="s">
        <v>7</v>
      </c>
      <c r="F607" s="6">
        <v>46237.416666666657</v>
      </c>
    </row>
    <row r="608" spans="1:6" x14ac:dyDescent="0.3">
      <c r="A608" s="3">
        <v>607</v>
      </c>
      <c r="B608" s="4">
        <f t="shared" si="10"/>
        <v>0.54531490015360984</v>
      </c>
      <c r="C608" s="5">
        <v>130.19999999999999</v>
      </c>
      <c r="D608" s="5">
        <v>71</v>
      </c>
      <c r="E608" s="3" t="s">
        <v>11</v>
      </c>
      <c r="F608" s="6">
        <v>45667.642361111109</v>
      </c>
    </row>
    <row r="609" spans="1:6" x14ac:dyDescent="0.3">
      <c r="A609" s="3">
        <v>608</v>
      </c>
      <c r="B609" s="4">
        <f t="shared" si="10"/>
        <v>0.54534950895436174</v>
      </c>
      <c r="C609" s="5">
        <v>173.1</v>
      </c>
      <c r="D609" s="5">
        <v>94.4</v>
      </c>
      <c r="E609" s="3" t="s">
        <v>11</v>
      </c>
      <c r="F609" s="6">
        <v>45163.586111111108</v>
      </c>
    </row>
    <row r="610" spans="1:6" x14ac:dyDescent="0.3">
      <c r="A610" s="3">
        <v>609</v>
      </c>
      <c r="B610" s="4">
        <f t="shared" si="10"/>
        <v>0.54556213017751476</v>
      </c>
      <c r="C610" s="5">
        <v>84.5</v>
      </c>
      <c r="D610" s="5">
        <v>46.1</v>
      </c>
      <c r="E610" s="3" t="s">
        <v>7</v>
      </c>
      <c r="F610" s="6">
        <v>44622.663888888892</v>
      </c>
    </row>
    <row r="611" spans="1:6" x14ac:dyDescent="0.3">
      <c r="A611" s="3">
        <v>610</v>
      </c>
      <c r="B611" s="4">
        <f t="shared" si="10"/>
        <v>0.54587581093605186</v>
      </c>
      <c r="C611" s="5">
        <v>107.9</v>
      </c>
      <c r="D611" s="5">
        <v>58.9</v>
      </c>
      <c r="E611" s="3" t="s">
        <v>7</v>
      </c>
      <c r="F611" s="6">
        <v>45553.65902777778</v>
      </c>
    </row>
    <row r="612" spans="1:6" x14ac:dyDescent="0.3">
      <c r="A612" s="3">
        <v>611</v>
      </c>
      <c r="B612" s="4">
        <f t="shared" si="10"/>
        <v>0.54618834080717482</v>
      </c>
      <c r="C612" s="5">
        <v>111.5</v>
      </c>
      <c r="D612" s="5">
        <v>60.9</v>
      </c>
      <c r="E612" s="3" t="s">
        <v>11</v>
      </c>
      <c r="F612" s="6">
        <v>44848.331250000003</v>
      </c>
    </row>
    <row r="613" spans="1:6" x14ac:dyDescent="0.3">
      <c r="A613" s="3">
        <v>612</v>
      </c>
      <c r="B613" s="4">
        <f t="shared" si="10"/>
        <v>0.54660347551342814</v>
      </c>
      <c r="C613" s="5">
        <v>189.9</v>
      </c>
      <c r="D613" s="5">
        <v>103.8</v>
      </c>
      <c r="E613" s="3" t="s">
        <v>11</v>
      </c>
      <c r="F613" s="6">
        <v>45840.906944444447</v>
      </c>
    </row>
    <row r="614" spans="1:6" x14ac:dyDescent="0.3">
      <c r="A614" s="3">
        <v>613</v>
      </c>
      <c r="B614" s="4">
        <f t="shared" si="10"/>
        <v>0.54680365296803657</v>
      </c>
      <c r="C614" s="5">
        <v>87.6</v>
      </c>
      <c r="D614" s="5">
        <v>47.9</v>
      </c>
      <c r="E614" s="3" t="s">
        <v>7</v>
      </c>
      <c r="F614" s="6">
        <v>45539.752083333333</v>
      </c>
    </row>
    <row r="615" spans="1:6" x14ac:dyDescent="0.3">
      <c r="A615" s="3">
        <v>614</v>
      </c>
      <c r="B615" s="4">
        <f t="shared" si="10"/>
        <v>0.54682454251883739</v>
      </c>
      <c r="C615" s="5">
        <v>92.9</v>
      </c>
      <c r="D615" s="5">
        <v>50.8</v>
      </c>
      <c r="E615" s="3" t="s">
        <v>7</v>
      </c>
      <c r="F615" s="6">
        <v>44869.32916666667</v>
      </c>
    </row>
    <row r="616" spans="1:6" x14ac:dyDescent="0.3">
      <c r="A616" s="3">
        <v>615</v>
      </c>
      <c r="B616" s="4">
        <f t="shared" si="10"/>
        <v>0.54702194357366773</v>
      </c>
      <c r="C616" s="5">
        <v>63.8</v>
      </c>
      <c r="D616" s="5">
        <v>34.9</v>
      </c>
      <c r="E616" s="3" t="s">
        <v>11</v>
      </c>
      <c r="F616" s="6">
        <v>45659.176388888889</v>
      </c>
    </row>
    <row r="617" spans="1:6" x14ac:dyDescent="0.3">
      <c r="A617" s="3">
        <v>616</v>
      </c>
      <c r="B617" s="4">
        <f t="shared" si="10"/>
        <v>0.54714064914992266</v>
      </c>
      <c r="C617" s="5">
        <v>64.7</v>
      </c>
      <c r="D617" s="5">
        <v>35.4</v>
      </c>
      <c r="E617" s="3" t="s">
        <v>7</v>
      </c>
      <c r="F617" s="6">
        <v>45356.366666666669</v>
      </c>
    </row>
    <row r="618" spans="1:6" x14ac:dyDescent="0.3">
      <c r="A618" s="3">
        <v>617</v>
      </c>
      <c r="B618" s="4">
        <f t="shared" si="10"/>
        <v>0.54808686659772488</v>
      </c>
      <c r="C618" s="5">
        <v>96.7</v>
      </c>
      <c r="D618" s="5">
        <v>53</v>
      </c>
      <c r="E618" s="3" t="s">
        <v>11</v>
      </c>
      <c r="F618" s="6">
        <v>45959.664583333331</v>
      </c>
    </row>
    <row r="619" spans="1:6" x14ac:dyDescent="0.3">
      <c r="A619" s="3">
        <v>618</v>
      </c>
      <c r="B619" s="4">
        <f t="shared" si="10"/>
        <v>0.55000000000000004</v>
      </c>
      <c r="C619" s="5">
        <v>56</v>
      </c>
      <c r="D619" s="5">
        <v>30.8</v>
      </c>
      <c r="E619" s="3" t="s">
        <v>11</v>
      </c>
      <c r="F619" s="6">
        <v>44522.522222222222</v>
      </c>
    </row>
    <row r="620" spans="1:6" x14ac:dyDescent="0.3">
      <c r="A620" s="3">
        <v>619</v>
      </c>
      <c r="B620" s="4">
        <f t="shared" si="10"/>
        <v>0.55078534031413617</v>
      </c>
      <c r="C620" s="5">
        <v>95.5</v>
      </c>
      <c r="D620" s="5">
        <v>52.6</v>
      </c>
      <c r="E620" s="3" t="s">
        <v>11</v>
      </c>
      <c r="F620" s="6">
        <v>44890.717361111107</v>
      </c>
    </row>
    <row r="621" spans="1:6" x14ac:dyDescent="0.3">
      <c r="A621" s="3">
        <v>620</v>
      </c>
      <c r="B621" s="4">
        <f t="shared" si="10"/>
        <v>0.55079681274900394</v>
      </c>
      <c r="C621" s="5">
        <v>100.4</v>
      </c>
      <c r="D621" s="5">
        <v>55.3</v>
      </c>
      <c r="E621" s="3" t="s">
        <v>7</v>
      </c>
      <c r="F621" s="6">
        <v>45691.746527777781</v>
      </c>
    </row>
    <row r="622" spans="1:6" x14ac:dyDescent="0.3">
      <c r="A622" s="3">
        <v>621</v>
      </c>
      <c r="B622" s="4">
        <f t="shared" si="10"/>
        <v>0.5518617021276595</v>
      </c>
      <c r="C622" s="5">
        <v>75.2</v>
      </c>
      <c r="D622" s="5">
        <v>41.5</v>
      </c>
      <c r="E622" s="3" t="s">
        <v>7</v>
      </c>
      <c r="F622" s="6">
        <v>45000.915277777778</v>
      </c>
    </row>
    <row r="623" spans="1:6" x14ac:dyDescent="0.3">
      <c r="A623" s="3">
        <v>622</v>
      </c>
      <c r="B623" s="4">
        <f t="shared" si="10"/>
        <v>0.55226988754685546</v>
      </c>
      <c r="C623" s="5">
        <v>240.1</v>
      </c>
      <c r="D623" s="5">
        <v>132.6</v>
      </c>
      <c r="E623" s="3" t="s">
        <v>11</v>
      </c>
      <c r="F623" s="6">
        <v>44616.819444444453</v>
      </c>
    </row>
    <row r="624" spans="1:6" x14ac:dyDescent="0.3">
      <c r="A624" s="3">
        <v>623</v>
      </c>
      <c r="B624" s="4">
        <f t="shared" si="10"/>
        <v>0.55263157894736847</v>
      </c>
      <c r="C624" s="5">
        <v>60.8</v>
      </c>
      <c r="D624" s="5">
        <v>33.6</v>
      </c>
      <c r="E624" s="3" t="s">
        <v>7</v>
      </c>
      <c r="F624" s="6">
        <v>44757.693055555559</v>
      </c>
    </row>
    <row r="625" spans="1:6" x14ac:dyDescent="0.3">
      <c r="A625" s="3">
        <v>624</v>
      </c>
      <c r="B625" s="4">
        <f t="shared" si="10"/>
        <v>0.55332302936630595</v>
      </c>
      <c r="C625" s="5">
        <v>64.7</v>
      </c>
      <c r="D625" s="5">
        <v>35.799999999999997</v>
      </c>
      <c r="E625" s="3" t="s">
        <v>11</v>
      </c>
      <c r="F625" s="6">
        <v>45055.287499999999</v>
      </c>
    </row>
    <row r="626" spans="1:6" x14ac:dyDescent="0.3">
      <c r="A626" s="3">
        <v>625</v>
      </c>
      <c r="B626" s="4">
        <f t="shared" si="10"/>
        <v>0.55458937198067626</v>
      </c>
      <c r="C626" s="5">
        <v>103.5</v>
      </c>
      <c r="D626" s="5">
        <v>57.4</v>
      </c>
      <c r="E626" s="3" t="s">
        <v>11</v>
      </c>
      <c r="F626" s="6">
        <v>44661.958333333343</v>
      </c>
    </row>
    <row r="627" spans="1:6" x14ac:dyDescent="0.3">
      <c r="A627" s="3">
        <v>626</v>
      </c>
      <c r="B627" s="4">
        <f t="shared" si="10"/>
        <v>0.55487804878048785</v>
      </c>
      <c r="C627" s="5">
        <v>147.6</v>
      </c>
      <c r="D627" s="5">
        <v>81.900000000000006</v>
      </c>
      <c r="E627" s="3" t="s">
        <v>7</v>
      </c>
      <c r="F627" s="6">
        <v>44855.680555555547</v>
      </c>
    </row>
    <row r="628" spans="1:6" x14ac:dyDescent="0.3">
      <c r="A628" s="3">
        <v>627</v>
      </c>
      <c r="B628" s="4">
        <f t="shared" si="10"/>
        <v>0.55619047619047612</v>
      </c>
      <c r="C628" s="5">
        <v>105</v>
      </c>
      <c r="D628" s="5">
        <v>58.4</v>
      </c>
      <c r="E628" s="3" t="s">
        <v>7</v>
      </c>
      <c r="F628" s="6">
        <v>45621.363194444442</v>
      </c>
    </row>
    <row r="629" spans="1:6" x14ac:dyDescent="0.3">
      <c r="A629" s="3">
        <v>628</v>
      </c>
      <c r="B629" s="4">
        <f t="shared" si="10"/>
        <v>0.55639097744360899</v>
      </c>
      <c r="C629" s="5">
        <v>66.5</v>
      </c>
      <c r="D629" s="5">
        <v>37</v>
      </c>
      <c r="E629" s="3" t="s">
        <v>7</v>
      </c>
      <c r="F629" s="6">
        <v>44637.417361111111</v>
      </c>
    </row>
    <row r="630" spans="1:6" x14ac:dyDescent="0.3">
      <c r="A630" s="3">
        <v>629</v>
      </c>
      <c r="B630" s="4">
        <f t="shared" si="10"/>
        <v>0.55646576945582205</v>
      </c>
      <c r="C630" s="5">
        <v>170.9</v>
      </c>
      <c r="D630" s="5">
        <v>95.1</v>
      </c>
      <c r="E630" s="3" t="s">
        <v>7</v>
      </c>
      <c r="F630" s="6">
        <v>45870.734722222223</v>
      </c>
    </row>
    <row r="631" spans="1:6" x14ac:dyDescent="0.3">
      <c r="A631" s="3">
        <v>630</v>
      </c>
      <c r="B631" s="4">
        <f t="shared" si="10"/>
        <v>0.55654383735705204</v>
      </c>
      <c r="C631" s="5">
        <v>78.7</v>
      </c>
      <c r="D631" s="5">
        <v>43.8</v>
      </c>
      <c r="E631" s="3" t="s">
        <v>11</v>
      </c>
      <c r="F631" s="6">
        <v>45736.500694444447</v>
      </c>
    </row>
    <row r="632" spans="1:6" x14ac:dyDescent="0.3">
      <c r="A632" s="3">
        <v>631</v>
      </c>
      <c r="B632" s="4">
        <f t="shared" si="10"/>
        <v>0.55745721271393645</v>
      </c>
      <c r="C632" s="5">
        <v>81.8</v>
      </c>
      <c r="D632" s="5">
        <v>45.6</v>
      </c>
      <c r="E632" s="3" t="s">
        <v>11</v>
      </c>
      <c r="F632" s="6">
        <v>45161.309027777781</v>
      </c>
    </row>
    <row r="633" spans="1:6" x14ac:dyDescent="0.3">
      <c r="A633" s="3">
        <v>632</v>
      </c>
      <c r="B633" s="4">
        <f t="shared" si="10"/>
        <v>0.55762081784386619</v>
      </c>
      <c r="C633" s="5">
        <v>53.8</v>
      </c>
      <c r="D633" s="5">
        <v>30</v>
      </c>
      <c r="E633" s="3" t="s">
        <v>11</v>
      </c>
      <c r="F633" s="6">
        <v>44949.409722222219</v>
      </c>
    </row>
    <row r="634" spans="1:6" x14ac:dyDescent="0.3">
      <c r="A634" s="3">
        <v>633</v>
      </c>
      <c r="B634" s="4">
        <f t="shared" si="10"/>
        <v>0.55809128630705385</v>
      </c>
      <c r="C634" s="5">
        <v>96.4</v>
      </c>
      <c r="D634" s="5">
        <v>53.8</v>
      </c>
      <c r="E634" s="3" t="s">
        <v>11</v>
      </c>
      <c r="F634" s="6">
        <v>45869.622916666667</v>
      </c>
    </row>
    <row r="635" spans="1:6" x14ac:dyDescent="0.3">
      <c r="A635" s="3">
        <v>634</v>
      </c>
      <c r="B635" s="4">
        <f t="shared" si="10"/>
        <v>0.55809334657398213</v>
      </c>
      <c r="C635" s="5">
        <v>100.7</v>
      </c>
      <c r="D635" s="5">
        <v>56.2</v>
      </c>
      <c r="E635" s="3" t="s">
        <v>11</v>
      </c>
      <c r="F635" s="6">
        <v>44812.572916666657</v>
      </c>
    </row>
    <row r="636" spans="1:6" x14ac:dyDescent="0.3">
      <c r="A636" s="3">
        <v>635</v>
      </c>
      <c r="B636" s="4">
        <f t="shared" si="10"/>
        <v>0.55897435897435899</v>
      </c>
      <c r="C636" s="5">
        <v>58.5</v>
      </c>
      <c r="D636" s="5">
        <v>32.700000000000003</v>
      </c>
      <c r="E636" s="3" t="s">
        <v>11</v>
      </c>
      <c r="F636" s="6">
        <v>45649.123611111107</v>
      </c>
    </row>
    <row r="637" spans="1:6" x14ac:dyDescent="0.3">
      <c r="A637" s="3">
        <v>636</v>
      </c>
      <c r="B637" s="4">
        <f t="shared" si="10"/>
        <v>0.55991041433370659</v>
      </c>
      <c r="C637" s="5">
        <v>89.3</v>
      </c>
      <c r="D637" s="5">
        <v>50</v>
      </c>
      <c r="E637" s="3" t="s">
        <v>11</v>
      </c>
      <c r="F637" s="6">
        <v>44862.082638888889</v>
      </c>
    </row>
    <row r="638" spans="1:6" x14ac:dyDescent="0.3">
      <c r="A638" s="3">
        <v>637</v>
      </c>
      <c r="B638" s="4">
        <f t="shared" si="10"/>
        <v>0.56026365348399243</v>
      </c>
      <c r="C638" s="5">
        <v>106.2</v>
      </c>
      <c r="D638" s="5">
        <v>59.5</v>
      </c>
      <c r="E638" s="3" t="s">
        <v>11</v>
      </c>
      <c r="F638" s="6">
        <v>44910.429861111108</v>
      </c>
    </row>
    <row r="639" spans="1:6" x14ac:dyDescent="0.3">
      <c r="A639" s="3">
        <v>638</v>
      </c>
      <c r="B639" s="4">
        <f t="shared" si="10"/>
        <v>0.56040892193308556</v>
      </c>
      <c r="C639" s="5">
        <v>107.6</v>
      </c>
      <c r="D639" s="5">
        <v>60.3</v>
      </c>
      <c r="E639" s="3" t="s">
        <v>7</v>
      </c>
      <c r="F639" s="6">
        <v>44799.585416666669</v>
      </c>
    </row>
    <row r="640" spans="1:6" x14ac:dyDescent="0.3">
      <c r="A640" s="3">
        <v>639</v>
      </c>
      <c r="B640" s="4">
        <f t="shared" si="10"/>
        <v>0.56107249255213509</v>
      </c>
      <c r="C640" s="5">
        <v>100.7</v>
      </c>
      <c r="D640" s="5">
        <v>56.5</v>
      </c>
      <c r="E640" s="3" t="s">
        <v>11</v>
      </c>
      <c r="F640" s="6">
        <v>44831.568749999999</v>
      </c>
    </row>
    <row r="641" spans="1:6" x14ac:dyDescent="0.3">
      <c r="A641" s="3">
        <v>640</v>
      </c>
      <c r="B641" s="4">
        <f t="shared" si="10"/>
        <v>0.56156968876860613</v>
      </c>
      <c r="C641" s="5">
        <v>73.900000000000006</v>
      </c>
      <c r="D641" s="5">
        <v>41.5</v>
      </c>
      <c r="E641" s="3" t="s">
        <v>11</v>
      </c>
      <c r="F641" s="6">
        <v>45604.484722222223</v>
      </c>
    </row>
    <row r="642" spans="1:6" x14ac:dyDescent="0.3">
      <c r="A642" s="3">
        <v>641</v>
      </c>
      <c r="B642" s="4">
        <f t="shared" ref="B642:B705" si="11">D642/C642</f>
        <v>0.56185155626496419</v>
      </c>
      <c r="C642" s="5">
        <v>125.3</v>
      </c>
      <c r="D642" s="5">
        <v>70.400000000000006</v>
      </c>
      <c r="E642" s="3" t="s">
        <v>11</v>
      </c>
      <c r="F642" s="6">
        <v>46132.668055555558</v>
      </c>
    </row>
    <row r="643" spans="1:6" x14ac:dyDescent="0.3">
      <c r="A643" s="3">
        <v>642</v>
      </c>
      <c r="B643" s="4">
        <f t="shared" si="11"/>
        <v>0.56198347107438018</v>
      </c>
      <c r="C643" s="5">
        <v>60.5</v>
      </c>
      <c r="D643" s="5">
        <v>34</v>
      </c>
      <c r="E643" s="3" t="s">
        <v>7</v>
      </c>
      <c r="F643" s="6">
        <v>45322.324999999997</v>
      </c>
    </row>
    <row r="644" spans="1:6" x14ac:dyDescent="0.3">
      <c r="A644" s="3">
        <v>643</v>
      </c>
      <c r="B644" s="4">
        <f t="shared" si="11"/>
        <v>0.56217882836587874</v>
      </c>
      <c r="C644" s="5">
        <v>97.3</v>
      </c>
      <c r="D644" s="5">
        <v>54.7</v>
      </c>
      <c r="E644" s="3" t="s">
        <v>11</v>
      </c>
      <c r="F644" s="6">
        <v>44564.803472222222</v>
      </c>
    </row>
    <row r="645" spans="1:6" x14ac:dyDescent="0.3">
      <c r="A645" s="3">
        <v>644</v>
      </c>
      <c r="B645" s="4">
        <f t="shared" si="11"/>
        <v>0.56233183856502245</v>
      </c>
      <c r="C645" s="5">
        <v>111.5</v>
      </c>
      <c r="D645" s="5">
        <v>62.7</v>
      </c>
      <c r="E645" s="3" t="s">
        <v>7</v>
      </c>
      <c r="F645" s="6">
        <v>45776.456944444442</v>
      </c>
    </row>
    <row r="646" spans="1:6" x14ac:dyDescent="0.3">
      <c r="A646" s="3">
        <v>645</v>
      </c>
      <c r="B646" s="4">
        <f t="shared" si="11"/>
        <v>0.56240601503759391</v>
      </c>
      <c r="C646" s="5">
        <v>66.5</v>
      </c>
      <c r="D646" s="5">
        <v>37.4</v>
      </c>
      <c r="E646" s="3" t="s">
        <v>7</v>
      </c>
      <c r="F646" s="6">
        <v>45133.988888888889</v>
      </c>
    </row>
    <row r="647" spans="1:6" x14ac:dyDescent="0.3">
      <c r="A647" s="3">
        <v>646</v>
      </c>
      <c r="B647" s="4">
        <f t="shared" si="11"/>
        <v>0.56321839080459768</v>
      </c>
      <c r="C647" s="5">
        <v>200.1</v>
      </c>
      <c r="D647" s="5">
        <v>112.7</v>
      </c>
      <c r="E647" s="3" t="s">
        <v>7</v>
      </c>
      <c r="F647" s="6">
        <v>44830.5625</v>
      </c>
    </row>
    <row r="648" spans="1:6" x14ac:dyDescent="0.3">
      <c r="A648" s="3">
        <v>647</v>
      </c>
      <c r="B648" s="4">
        <f t="shared" si="11"/>
        <v>0.56325823223570193</v>
      </c>
      <c r="C648" s="5">
        <v>57.7</v>
      </c>
      <c r="D648" s="5">
        <v>32.5</v>
      </c>
      <c r="E648" s="3" t="s">
        <v>7</v>
      </c>
      <c r="F648" s="6">
        <v>45810.151388888888</v>
      </c>
    </row>
    <row r="649" spans="1:6" x14ac:dyDescent="0.3">
      <c r="A649" s="3">
        <v>648</v>
      </c>
      <c r="B649" s="4">
        <f t="shared" si="11"/>
        <v>0.56350626118067981</v>
      </c>
      <c r="C649" s="5">
        <v>111.8</v>
      </c>
      <c r="D649" s="5">
        <v>63</v>
      </c>
      <c r="E649" s="3" t="s">
        <v>7</v>
      </c>
      <c r="F649" s="6">
        <v>44915.388194444437</v>
      </c>
    </row>
    <row r="650" spans="1:6" x14ac:dyDescent="0.3">
      <c r="A650" s="3">
        <v>649</v>
      </c>
      <c r="B650" s="4">
        <f t="shared" si="11"/>
        <v>0.5638977635782747</v>
      </c>
      <c r="C650" s="5">
        <v>62.6</v>
      </c>
      <c r="D650" s="5">
        <v>35.299999999999997</v>
      </c>
      <c r="E650" s="3" t="s">
        <v>7</v>
      </c>
      <c r="F650" s="6">
        <v>45877.539583333331</v>
      </c>
    </row>
    <row r="651" spans="1:6" x14ac:dyDescent="0.3">
      <c r="A651" s="3">
        <v>650</v>
      </c>
      <c r="B651" s="4">
        <f t="shared" si="11"/>
        <v>0.56399999999999995</v>
      </c>
      <c r="C651" s="5">
        <v>100</v>
      </c>
      <c r="D651" s="5">
        <v>56.4</v>
      </c>
      <c r="E651" s="3" t="s">
        <v>11</v>
      </c>
      <c r="F651" s="6">
        <v>45674.479166666657</v>
      </c>
    </row>
    <row r="652" spans="1:6" x14ac:dyDescent="0.3">
      <c r="A652" s="3">
        <v>651</v>
      </c>
      <c r="B652" s="4">
        <f t="shared" si="11"/>
        <v>0.5644699140401146</v>
      </c>
      <c r="C652" s="5">
        <v>69.8</v>
      </c>
      <c r="D652" s="5">
        <v>39.4</v>
      </c>
      <c r="E652" s="3" t="s">
        <v>7</v>
      </c>
      <c r="F652" s="6">
        <v>46254.504861111112</v>
      </c>
    </row>
    <row r="653" spans="1:6" x14ac:dyDescent="0.3">
      <c r="A653" s="3">
        <v>652</v>
      </c>
      <c r="B653" s="4">
        <f t="shared" si="11"/>
        <v>0.56463195691202872</v>
      </c>
      <c r="C653" s="5">
        <v>111.4</v>
      </c>
      <c r="D653" s="5">
        <v>62.9</v>
      </c>
      <c r="E653" s="3" t="s">
        <v>11</v>
      </c>
      <c r="F653" s="6">
        <v>46080.338194444441</v>
      </c>
    </row>
    <row r="654" spans="1:6" x14ac:dyDescent="0.3">
      <c r="A654" s="3">
        <v>653</v>
      </c>
      <c r="B654" s="4">
        <f t="shared" si="11"/>
        <v>0.5647840531561461</v>
      </c>
      <c r="C654" s="5">
        <v>60.2</v>
      </c>
      <c r="D654" s="5">
        <v>34</v>
      </c>
      <c r="E654" s="3" t="s">
        <v>7</v>
      </c>
      <c r="F654" s="6">
        <v>44732.072222222218</v>
      </c>
    </row>
    <row r="655" spans="1:6" x14ac:dyDescent="0.3">
      <c r="A655" s="3">
        <v>654</v>
      </c>
      <c r="B655" s="4">
        <f t="shared" si="11"/>
        <v>0.56538839724680434</v>
      </c>
      <c r="C655" s="5">
        <v>101.7</v>
      </c>
      <c r="D655" s="5">
        <v>57.5</v>
      </c>
      <c r="E655" s="3" t="s">
        <v>11</v>
      </c>
      <c r="F655" s="6">
        <v>45272.847222222219</v>
      </c>
    </row>
    <row r="656" spans="1:6" x14ac:dyDescent="0.3">
      <c r="A656" s="3">
        <v>655</v>
      </c>
      <c r="B656" s="4">
        <f t="shared" si="11"/>
        <v>0.56553755522827676</v>
      </c>
      <c r="C656" s="5">
        <v>67.900000000000006</v>
      </c>
      <c r="D656" s="5">
        <v>38.4</v>
      </c>
      <c r="E656" s="3" t="s">
        <v>11</v>
      </c>
      <c r="F656" s="6">
        <v>44502.541666666657</v>
      </c>
    </row>
    <row r="657" spans="1:6" x14ac:dyDescent="0.3">
      <c r="A657" s="3">
        <v>656</v>
      </c>
      <c r="B657" s="4">
        <f t="shared" si="11"/>
        <v>0.56605284227381902</v>
      </c>
      <c r="C657" s="5">
        <v>124.9</v>
      </c>
      <c r="D657" s="5">
        <v>70.7</v>
      </c>
      <c r="E657" s="3" t="s">
        <v>7</v>
      </c>
      <c r="F657" s="6">
        <v>45749.852083333331</v>
      </c>
    </row>
    <row r="658" spans="1:6" x14ac:dyDescent="0.3">
      <c r="A658" s="3">
        <v>657</v>
      </c>
      <c r="B658" s="4">
        <f t="shared" si="11"/>
        <v>0.5663716814159292</v>
      </c>
      <c r="C658" s="5">
        <v>67.8</v>
      </c>
      <c r="D658" s="5">
        <v>38.4</v>
      </c>
      <c r="E658" s="3" t="s">
        <v>7</v>
      </c>
      <c r="F658" s="6">
        <v>45516.709027777782</v>
      </c>
    </row>
    <row r="659" spans="1:6" x14ac:dyDescent="0.3">
      <c r="A659" s="3">
        <v>658</v>
      </c>
      <c r="B659" s="4">
        <f t="shared" si="11"/>
        <v>0.56660039761431413</v>
      </c>
      <c r="C659" s="5">
        <v>100.6</v>
      </c>
      <c r="D659" s="5">
        <v>57</v>
      </c>
      <c r="E659" s="3" t="s">
        <v>11</v>
      </c>
      <c r="F659" s="6">
        <v>45596.435416666667</v>
      </c>
    </row>
    <row r="660" spans="1:6" x14ac:dyDescent="0.3">
      <c r="A660" s="3">
        <v>659</v>
      </c>
      <c r="B660" s="4">
        <f t="shared" si="11"/>
        <v>0.56670113753877971</v>
      </c>
      <c r="C660" s="5">
        <v>96.7</v>
      </c>
      <c r="D660" s="5">
        <v>54.8</v>
      </c>
      <c r="E660" s="3" t="s">
        <v>7</v>
      </c>
      <c r="F660" s="6">
        <v>44881.064583333333</v>
      </c>
    </row>
    <row r="661" spans="1:6" x14ac:dyDescent="0.3">
      <c r="A661" s="3">
        <v>660</v>
      </c>
      <c r="B661" s="4">
        <f t="shared" si="11"/>
        <v>0.5668016194331984</v>
      </c>
      <c r="C661" s="5">
        <v>123.5</v>
      </c>
      <c r="D661" s="5">
        <v>70</v>
      </c>
      <c r="E661" s="3" t="s">
        <v>7</v>
      </c>
      <c r="F661" s="6">
        <v>45330.574305555558</v>
      </c>
    </row>
    <row r="662" spans="1:6" x14ac:dyDescent="0.3">
      <c r="A662" s="3">
        <v>661</v>
      </c>
      <c r="B662" s="4">
        <f t="shared" si="11"/>
        <v>0.56692913385826771</v>
      </c>
      <c r="C662" s="5">
        <v>50.8</v>
      </c>
      <c r="D662" s="5">
        <v>28.8</v>
      </c>
      <c r="E662" s="3" t="s">
        <v>7</v>
      </c>
      <c r="F662" s="6">
        <v>44601.322222222218</v>
      </c>
    </row>
    <row r="663" spans="1:6" x14ac:dyDescent="0.3">
      <c r="A663" s="3">
        <v>662</v>
      </c>
      <c r="B663" s="4">
        <f t="shared" si="11"/>
        <v>0.56720827178729682</v>
      </c>
      <c r="C663" s="5">
        <v>135.4</v>
      </c>
      <c r="D663" s="5">
        <v>76.8</v>
      </c>
      <c r="E663" s="3" t="s">
        <v>7</v>
      </c>
      <c r="F663" s="6">
        <v>44833.456944444442</v>
      </c>
    </row>
    <row r="664" spans="1:6" x14ac:dyDescent="0.3">
      <c r="A664" s="3">
        <v>663</v>
      </c>
      <c r="B664" s="4">
        <f t="shared" si="11"/>
        <v>0.56738925541941565</v>
      </c>
      <c r="C664" s="5">
        <v>106.1</v>
      </c>
      <c r="D664" s="5">
        <v>60.2</v>
      </c>
      <c r="E664" s="3" t="s">
        <v>11</v>
      </c>
      <c r="F664" s="6">
        <v>45099.474999999999</v>
      </c>
    </row>
    <row r="665" spans="1:6" x14ac:dyDescent="0.3">
      <c r="A665" s="3">
        <v>664</v>
      </c>
      <c r="B665" s="4">
        <f t="shared" si="11"/>
        <v>0.56767676767676767</v>
      </c>
      <c r="C665" s="5">
        <v>99</v>
      </c>
      <c r="D665" s="5">
        <v>56.2</v>
      </c>
      <c r="E665" s="3" t="s">
        <v>7</v>
      </c>
      <c r="F665" s="6">
        <v>45506.668055555558</v>
      </c>
    </row>
    <row r="666" spans="1:6" x14ac:dyDescent="0.3">
      <c r="A666" s="3">
        <v>665</v>
      </c>
      <c r="B666" s="4">
        <f t="shared" si="11"/>
        <v>0.56788990825688068</v>
      </c>
      <c r="C666" s="5">
        <v>109</v>
      </c>
      <c r="D666" s="5">
        <v>61.9</v>
      </c>
      <c r="E666" s="3" t="s">
        <v>11</v>
      </c>
      <c r="F666" s="6">
        <v>44973.810416666667</v>
      </c>
    </row>
    <row r="667" spans="1:6" x14ac:dyDescent="0.3">
      <c r="A667" s="3">
        <v>666</v>
      </c>
      <c r="B667" s="4">
        <f t="shared" si="11"/>
        <v>0.5679156908665105</v>
      </c>
      <c r="C667" s="5">
        <v>85.4</v>
      </c>
      <c r="D667" s="5">
        <v>48.5</v>
      </c>
      <c r="E667" s="3" t="s">
        <v>11</v>
      </c>
      <c r="F667" s="6">
        <v>44805.311805555553</v>
      </c>
    </row>
    <row r="668" spans="1:6" x14ac:dyDescent="0.3">
      <c r="A668" s="3">
        <v>667</v>
      </c>
      <c r="B668" s="4">
        <f t="shared" si="11"/>
        <v>0.56799999999999995</v>
      </c>
      <c r="C668" s="5">
        <v>62.5</v>
      </c>
      <c r="D668" s="5">
        <v>35.5</v>
      </c>
      <c r="E668" s="3" t="s">
        <v>11</v>
      </c>
      <c r="F668" s="6">
        <v>45378.84652777778</v>
      </c>
    </row>
    <row r="669" spans="1:6" x14ac:dyDescent="0.3">
      <c r="A669" s="3">
        <v>668</v>
      </c>
      <c r="B669" s="4">
        <f t="shared" si="11"/>
        <v>0.5682492581602373</v>
      </c>
      <c r="C669" s="5">
        <v>67.400000000000006</v>
      </c>
      <c r="D669" s="5">
        <v>38.299999999999997</v>
      </c>
      <c r="E669" s="3" t="s">
        <v>11</v>
      </c>
      <c r="F669" s="6">
        <v>45412.595833333333</v>
      </c>
    </row>
    <row r="670" spans="1:6" x14ac:dyDescent="0.3">
      <c r="A670" s="3">
        <v>669</v>
      </c>
      <c r="B670" s="4">
        <f t="shared" si="11"/>
        <v>0.56825396825396823</v>
      </c>
      <c r="C670" s="5">
        <v>63</v>
      </c>
      <c r="D670" s="5">
        <v>35.799999999999997</v>
      </c>
      <c r="E670" s="3" t="s">
        <v>7</v>
      </c>
      <c r="F670" s="6">
        <v>45331.535416666673</v>
      </c>
    </row>
    <row r="671" spans="1:6" x14ac:dyDescent="0.3">
      <c r="A671" s="3">
        <v>670</v>
      </c>
      <c r="B671" s="4">
        <f t="shared" si="11"/>
        <v>0.56866197183098588</v>
      </c>
      <c r="C671" s="5">
        <v>56.8</v>
      </c>
      <c r="D671" s="5">
        <v>32.299999999999997</v>
      </c>
      <c r="E671" s="3" t="s">
        <v>11</v>
      </c>
      <c r="F671" s="6">
        <v>45069.01458333333</v>
      </c>
    </row>
    <row r="672" spans="1:6" x14ac:dyDescent="0.3">
      <c r="A672" s="3">
        <v>671</v>
      </c>
      <c r="B672" s="4">
        <f t="shared" si="11"/>
        <v>0.56914893617021278</v>
      </c>
      <c r="C672" s="5">
        <v>94</v>
      </c>
      <c r="D672" s="5">
        <v>53.5</v>
      </c>
      <c r="E672" s="3" t="s">
        <v>7</v>
      </c>
      <c r="F672" s="6">
        <v>45734.526388888888</v>
      </c>
    </row>
    <row r="673" spans="1:6" x14ac:dyDescent="0.3">
      <c r="A673" s="3">
        <v>672</v>
      </c>
      <c r="B673" s="4">
        <f t="shared" si="11"/>
        <v>0.56934931506849318</v>
      </c>
      <c r="C673" s="5">
        <v>116.8</v>
      </c>
      <c r="D673" s="5">
        <v>66.5</v>
      </c>
      <c r="E673" s="3" t="s">
        <v>7</v>
      </c>
      <c r="F673" s="6">
        <v>44951.673611111109</v>
      </c>
    </row>
    <row r="674" spans="1:6" x14ac:dyDescent="0.3">
      <c r="A674" s="3">
        <v>673</v>
      </c>
      <c r="B674" s="4">
        <f t="shared" si="11"/>
        <v>0.56934931506849318</v>
      </c>
      <c r="C674" s="5">
        <v>116.8</v>
      </c>
      <c r="D674" s="5">
        <v>66.5</v>
      </c>
      <c r="E674" s="3" t="s">
        <v>7</v>
      </c>
      <c r="F674" s="6">
        <v>46085.064583333333</v>
      </c>
    </row>
    <row r="675" spans="1:6" x14ac:dyDescent="0.3">
      <c r="A675" s="3">
        <v>674</v>
      </c>
      <c r="B675" s="4">
        <f t="shared" si="11"/>
        <v>0.56964285714285712</v>
      </c>
      <c r="C675" s="5">
        <v>56</v>
      </c>
      <c r="D675" s="5">
        <v>31.9</v>
      </c>
      <c r="E675" s="3" t="s">
        <v>11</v>
      </c>
      <c r="F675" s="6">
        <v>45684.90902777778</v>
      </c>
    </row>
    <row r="676" spans="1:6" x14ac:dyDescent="0.3">
      <c r="A676" s="3">
        <v>675</v>
      </c>
      <c r="B676" s="4">
        <f t="shared" si="11"/>
        <v>0.57041540020263415</v>
      </c>
      <c r="C676" s="5">
        <v>98.7</v>
      </c>
      <c r="D676" s="5">
        <v>56.3</v>
      </c>
      <c r="E676" s="3" t="s">
        <v>11</v>
      </c>
      <c r="F676" s="6">
        <v>44494.334722222222</v>
      </c>
    </row>
    <row r="677" spans="1:6" x14ac:dyDescent="0.3">
      <c r="A677" s="3">
        <v>676</v>
      </c>
      <c r="B677" s="4">
        <f t="shared" si="11"/>
        <v>0.57042253521126762</v>
      </c>
      <c r="C677" s="5">
        <v>85.2</v>
      </c>
      <c r="D677" s="5">
        <v>48.6</v>
      </c>
      <c r="E677" s="3" t="s">
        <v>7</v>
      </c>
      <c r="F677" s="6">
        <v>44998.067361111112</v>
      </c>
    </row>
    <row r="678" spans="1:6" x14ac:dyDescent="0.3">
      <c r="A678" s="3">
        <v>677</v>
      </c>
      <c r="B678" s="4">
        <f t="shared" si="11"/>
        <v>0.57117437722419928</v>
      </c>
      <c r="C678" s="5">
        <v>56.2</v>
      </c>
      <c r="D678" s="5">
        <v>32.1</v>
      </c>
      <c r="E678" s="3" t="s">
        <v>7</v>
      </c>
      <c r="F678" s="6">
        <v>44453.504861111112</v>
      </c>
    </row>
    <row r="679" spans="1:6" x14ac:dyDescent="0.3">
      <c r="A679" s="3">
        <v>678</v>
      </c>
      <c r="B679" s="4">
        <f t="shared" si="11"/>
        <v>0.57124352331606221</v>
      </c>
      <c r="C679" s="5">
        <v>77.2</v>
      </c>
      <c r="D679" s="5">
        <v>44.1</v>
      </c>
      <c r="E679" s="3" t="s">
        <v>11</v>
      </c>
      <c r="F679" s="6">
        <v>45124.361805555563</v>
      </c>
    </row>
    <row r="680" spans="1:6" x14ac:dyDescent="0.3">
      <c r="A680" s="3">
        <v>679</v>
      </c>
      <c r="B680" s="4">
        <f t="shared" si="11"/>
        <v>0.57128614157527413</v>
      </c>
      <c r="C680" s="5">
        <v>100.3</v>
      </c>
      <c r="D680" s="5">
        <v>57.3</v>
      </c>
      <c r="E680" s="3" t="s">
        <v>11</v>
      </c>
      <c r="F680" s="6">
        <v>44620.03402777778</v>
      </c>
    </row>
    <row r="681" spans="1:6" x14ac:dyDescent="0.3">
      <c r="A681" s="3">
        <v>680</v>
      </c>
      <c r="B681" s="4">
        <f t="shared" si="11"/>
        <v>0.57142857142857151</v>
      </c>
      <c r="C681" s="5">
        <v>100.1</v>
      </c>
      <c r="D681" s="5">
        <v>57.2</v>
      </c>
      <c r="E681" s="3" t="s">
        <v>7</v>
      </c>
      <c r="F681" s="6">
        <v>46085.729166666657</v>
      </c>
    </row>
    <row r="682" spans="1:6" x14ac:dyDescent="0.3">
      <c r="A682" s="3">
        <v>681</v>
      </c>
      <c r="B682" s="4">
        <f t="shared" si="11"/>
        <v>0.57192982456140351</v>
      </c>
      <c r="C682" s="5">
        <v>114</v>
      </c>
      <c r="D682" s="5">
        <v>65.2</v>
      </c>
      <c r="E682" s="3" t="s">
        <v>11</v>
      </c>
      <c r="F682" s="6">
        <v>44748.571527777778</v>
      </c>
    </row>
    <row r="683" spans="1:6" x14ac:dyDescent="0.3">
      <c r="A683" s="3">
        <v>682</v>
      </c>
      <c r="B683" s="4">
        <f t="shared" si="11"/>
        <v>0.57205882352941173</v>
      </c>
      <c r="C683" s="5">
        <v>68</v>
      </c>
      <c r="D683" s="5">
        <v>38.9</v>
      </c>
      <c r="E683" s="3" t="s">
        <v>7</v>
      </c>
      <c r="F683" s="6">
        <v>46199.12222222222</v>
      </c>
    </row>
    <row r="684" spans="1:6" x14ac:dyDescent="0.3">
      <c r="A684" s="3">
        <v>683</v>
      </c>
      <c r="B684" s="4">
        <f t="shared" si="11"/>
        <v>0.57209302325581401</v>
      </c>
      <c r="C684" s="5">
        <v>86</v>
      </c>
      <c r="D684" s="5">
        <v>49.2</v>
      </c>
      <c r="E684" s="3" t="s">
        <v>11</v>
      </c>
      <c r="F684" s="6">
        <v>45895.033333333333</v>
      </c>
    </row>
    <row r="685" spans="1:6" x14ac:dyDescent="0.3">
      <c r="A685" s="3">
        <v>684</v>
      </c>
      <c r="B685" s="4">
        <f t="shared" si="11"/>
        <v>0.57253384912959382</v>
      </c>
      <c r="C685" s="5">
        <v>51.7</v>
      </c>
      <c r="D685" s="5">
        <v>29.6</v>
      </c>
      <c r="E685" s="3" t="s">
        <v>7</v>
      </c>
      <c r="F685" s="6">
        <v>44656.356249999997</v>
      </c>
    </row>
    <row r="686" spans="1:6" x14ac:dyDescent="0.3">
      <c r="A686" s="3">
        <v>685</v>
      </c>
      <c r="B686" s="4">
        <f t="shared" si="11"/>
        <v>0.57336108220603543</v>
      </c>
      <c r="C686" s="5">
        <v>96.1</v>
      </c>
      <c r="D686" s="5">
        <v>55.1</v>
      </c>
      <c r="E686" s="3" t="s">
        <v>7</v>
      </c>
      <c r="F686" s="6">
        <v>44911.59375</v>
      </c>
    </row>
    <row r="687" spans="1:6" x14ac:dyDescent="0.3">
      <c r="A687" s="3">
        <v>686</v>
      </c>
      <c r="B687" s="4">
        <f t="shared" si="11"/>
        <v>0.57433628318584073</v>
      </c>
      <c r="C687" s="5">
        <v>113</v>
      </c>
      <c r="D687" s="5">
        <v>64.900000000000006</v>
      </c>
      <c r="E687" s="3" t="s">
        <v>11</v>
      </c>
      <c r="F687" s="6">
        <v>46141.00277777778</v>
      </c>
    </row>
    <row r="688" spans="1:6" x14ac:dyDescent="0.3">
      <c r="A688" s="3">
        <v>687</v>
      </c>
      <c r="B688" s="4">
        <f t="shared" si="11"/>
        <v>0.5744540039708802</v>
      </c>
      <c r="C688" s="5">
        <v>151.1</v>
      </c>
      <c r="D688" s="5">
        <v>86.8</v>
      </c>
      <c r="E688" s="3" t="s">
        <v>11</v>
      </c>
      <c r="F688" s="6">
        <v>45751.519444444442</v>
      </c>
    </row>
    <row r="689" spans="1:6" x14ac:dyDescent="0.3">
      <c r="A689" s="3">
        <v>688</v>
      </c>
      <c r="B689" s="4">
        <f t="shared" si="11"/>
        <v>0.57446808510638292</v>
      </c>
      <c r="C689" s="5">
        <v>65.8</v>
      </c>
      <c r="D689" s="5">
        <v>37.799999999999997</v>
      </c>
      <c r="E689" s="3" t="s">
        <v>7</v>
      </c>
      <c r="F689" s="6">
        <v>44544.834027777782</v>
      </c>
    </row>
    <row r="690" spans="1:6" x14ac:dyDescent="0.3">
      <c r="A690" s="3">
        <v>689</v>
      </c>
      <c r="B690" s="4">
        <f t="shared" si="11"/>
        <v>0.57466666666666666</v>
      </c>
      <c r="C690" s="5">
        <v>75</v>
      </c>
      <c r="D690" s="5">
        <v>43.1</v>
      </c>
      <c r="E690" s="3" t="s">
        <v>7</v>
      </c>
      <c r="F690" s="6">
        <v>45930.55972222222</v>
      </c>
    </row>
    <row r="691" spans="1:6" x14ac:dyDescent="0.3">
      <c r="A691" s="3">
        <v>690</v>
      </c>
      <c r="B691" s="4">
        <f t="shared" si="11"/>
        <v>0.57491289198606277</v>
      </c>
      <c r="C691" s="5">
        <v>57.4</v>
      </c>
      <c r="D691" s="5">
        <v>33</v>
      </c>
      <c r="E691" s="3" t="s">
        <v>11</v>
      </c>
      <c r="F691" s="6">
        <v>45737.504166666673</v>
      </c>
    </row>
    <row r="692" spans="1:6" x14ac:dyDescent="0.3">
      <c r="A692" s="3">
        <v>691</v>
      </c>
      <c r="B692" s="4">
        <f t="shared" si="11"/>
        <v>0.57534246575342463</v>
      </c>
      <c r="C692" s="5">
        <v>87.6</v>
      </c>
      <c r="D692" s="5">
        <v>50.4</v>
      </c>
      <c r="E692" s="3" t="s">
        <v>7</v>
      </c>
      <c r="F692" s="6">
        <v>46206.012499999997</v>
      </c>
    </row>
    <row r="693" spans="1:6" x14ac:dyDescent="0.3">
      <c r="A693" s="3">
        <v>692</v>
      </c>
      <c r="B693" s="4">
        <f t="shared" si="11"/>
        <v>0.57553956834532372</v>
      </c>
      <c r="C693" s="5">
        <v>97.3</v>
      </c>
      <c r="D693" s="5">
        <v>56</v>
      </c>
      <c r="E693" s="3" t="s">
        <v>7</v>
      </c>
      <c r="F693" s="6">
        <v>45684.713888888888</v>
      </c>
    </row>
    <row r="694" spans="1:6" x14ac:dyDescent="0.3">
      <c r="A694" s="3">
        <v>693</v>
      </c>
      <c r="B694" s="4">
        <f t="shared" si="11"/>
        <v>0.57610993657505294</v>
      </c>
      <c r="C694" s="5">
        <v>94.6</v>
      </c>
      <c r="D694" s="5">
        <v>54.5</v>
      </c>
      <c r="E694" s="3" t="s">
        <v>11</v>
      </c>
      <c r="F694" s="6">
        <v>44804.664583333331</v>
      </c>
    </row>
    <row r="695" spans="1:6" x14ac:dyDescent="0.3">
      <c r="A695" s="3">
        <v>694</v>
      </c>
      <c r="B695" s="4">
        <f t="shared" si="11"/>
        <v>0.57629107981220662</v>
      </c>
      <c r="C695" s="5">
        <v>85.2</v>
      </c>
      <c r="D695" s="5">
        <v>49.1</v>
      </c>
      <c r="E695" s="3" t="s">
        <v>11</v>
      </c>
      <c r="F695" s="6">
        <v>45840.060416666667</v>
      </c>
    </row>
    <row r="696" spans="1:6" x14ac:dyDescent="0.3">
      <c r="A696" s="3">
        <v>695</v>
      </c>
      <c r="B696" s="4">
        <f t="shared" si="11"/>
        <v>0.57644628099173556</v>
      </c>
      <c r="C696" s="5">
        <v>96.8</v>
      </c>
      <c r="D696" s="5">
        <v>55.8</v>
      </c>
      <c r="E696" s="3" t="s">
        <v>7</v>
      </c>
      <c r="F696" s="6">
        <v>45807.307638888888</v>
      </c>
    </row>
    <row r="697" spans="1:6" x14ac:dyDescent="0.3">
      <c r="A697" s="3">
        <v>696</v>
      </c>
      <c r="B697" s="4">
        <f t="shared" si="11"/>
        <v>0.57692307692307687</v>
      </c>
      <c r="C697" s="5">
        <v>54.6</v>
      </c>
      <c r="D697" s="5">
        <v>31.5</v>
      </c>
      <c r="E697" s="3" t="s">
        <v>7</v>
      </c>
      <c r="F697" s="6">
        <v>45719.362500000003</v>
      </c>
    </row>
    <row r="698" spans="1:6" x14ac:dyDescent="0.3">
      <c r="A698" s="3">
        <v>697</v>
      </c>
      <c r="B698" s="4">
        <f t="shared" si="11"/>
        <v>0.57731958762886593</v>
      </c>
      <c r="C698" s="5">
        <v>97</v>
      </c>
      <c r="D698" s="5">
        <v>56</v>
      </c>
      <c r="E698" s="3" t="s">
        <v>7</v>
      </c>
      <c r="F698" s="6">
        <v>44554.682638888888</v>
      </c>
    </row>
    <row r="699" spans="1:6" x14ac:dyDescent="0.3">
      <c r="A699" s="3">
        <v>698</v>
      </c>
      <c r="B699" s="4">
        <f t="shared" si="11"/>
        <v>0.57889447236180902</v>
      </c>
      <c r="C699" s="5">
        <v>99.5</v>
      </c>
      <c r="D699" s="5">
        <v>57.6</v>
      </c>
      <c r="E699" s="3" t="s">
        <v>7</v>
      </c>
      <c r="F699" s="6">
        <v>45308.625</v>
      </c>
    </row>
    <row r="700" spans="1:6" x14ac:dyDescent="0.3">
      <c r="A700" s="3">
        <v>699</v>
      </c>
      <c r="B700" s="4">
        <f t="shared" si="11"/>
        <v>0.57961783439490444</v>
      </c>
      <c r="C700" s="5">
        <v>94.2</v>
      </c>
      <c r="D700" s="5">
        <v>54.6</v>
      </c>
      <c r="E700" s="3" t="s">
        <v>11</v>
      </c>
      <c r="F700" s="6">
        <v>44880.584722222222</v>
      </c>
    </row>
    <row r="701" spans="1:6" x14ac:dyDescent="0.3">
      <c r="A701" s="3">
        <v>700</v>
      </c>
      <c r="B701" s="4">
        <f t="shared" si="11"/>
        <v>0.57974910394265233</v>
      </c>
      <c r="C701" s="5">
        <v>111.6</v>
      </c>
      <c r="D701" s="5">
        <v>64.7</v>
      </c>
      <c r="E701" s="3" t="s">
        <v>7</v>
      </c>
      <c r="F701" s="6">
        <v>45055.009722222218</v>
      </c>
    </row>
    <row r="702" spans="1:6" x14ac:dyDescent="0.3">
      <c r="A702" s="3">
        <v>701</v>
      </c>
      <c r="B702" s="4">
        <f t="shared" si="11"/>
        <v>0.58023952095808384</v>
      </c>
      <c r="C702" s="5">
        <v>167</v>
      </c>
      <c r="D702" s="5">
        <v>96.9</v>
      </c>
      <c r="E702" s="3" t="s">
        <v>11</v>
      </c>
      <c r="F702" s="6">
        <v>45127.074305555558</v>
      </c>
    </row>
    <row r="703" spans="1:6" x14ac:dyDescent="0.3">
      <c r="A703" s="3">
        <v>702</v>
      </c>
      <c r="B703" s="4">
        <f t="shared" si="11"/>
        <v>0.58046614872364044</v>
      </c>
      <c r="C703" s="5">
        <v>90.1</v>
      </c>
      <c r="D703" s="5">
        <v>52.3</v>
      </c>
      <c r="E703" s="3" t="s">
        <v>11</v>
      </c>
      <c r="F703" s="6">
        <v>45541.625</v>
      </c>
    </row>
    <row r="704" spans="1:6" x14ac:dyDescent="0.3">
      <c r="A704" s="3">
        <v>703</v>
      </c>
      <c r="B704" s="4">
        <f t="shared" si="11"/>
        <v>0.58072696534235002</v>
      </c>
      <c r="C704" s="5">
        <v>118.3</v>
      </c>
      <c r="D704" s="5">
        <v>68.7</v>
      </c>
      <c r="E704" s="3" t="s">
        <v>11</v>
      </c>
      <c r="F704" s="6">
        <v>45141.484722222223</v>
      </c>
    </row>
    <row r="705" spans="1:6" x14ac:dyDescent="0.3">
      <c r="A705" s="3">
        <v>704</v>
      </c>
      <c r="B705" s="4">
        <f t="shared" si="11"/>
        <v>0.58082706766917291</v>
      </c>
      <c r="C705" s="5">
        <v>53.2</v>
      </c>
      <c r="D705" s="5">
        <v>30.9</v>
      </c>
      <c r="E705" s="3" t="s">
        <v>7</v>
      </c>
      <c r="F705" s="6">
        <v>45002.666666666657</v>
      </c>
    </row>
    <row r="706" spans="1:6" x14ac:dyDescent="0.3">
      <c r="A706" s="3">
        <v>705</v>
      </c>
      <c r="B706" s="4">
        <f t="shared" ref="B706:B769" si="12">D706/C706</f>
        <v>0.58088235294117652</v>
      </c>
      <c r="C706" s="5">
        <v>68</v>
      </c>
      <c r="D706" s="5">
        <v>39.5</v>
      </c>
      <c r="E706" s="3" t="s">
        <v>7</v>
      </c>
      <c r="F706" s="6">
        <v>44777.268750000003</v>
      </c>
    </row>
    <row r="707" spans="1:6" x14ac:dyDescent="0.3">
      <c r="A707" s="3">
        <v>706</v>
      </c>
      <c r="B707" s="4">
        <f t="shared" si="12"/>
        <v>0.58113730929264917</v>
      </c>
      <c r="C707" s="5">
        <v>72.099999999999994</v>
      </c>
      <c r="D707" s="5">
        <v>41.9</v>
      </c>
      <c r="E707" s="3" t="s">
        <v>7</v>
      </c>
      <c r="F707" s="6">
        <v>44526.696527777778</v>
      </c>
    </row>
    <row r="708" spans="1:6" x14ac:dyDescent="0.3">
      <c r="A708" s="3">
        <v>707</v>
      </c>
      <c r="B708" s="4">
        <f t="shared" si="12"/>
        <v>0.58136924803591472</v>
      </c>
      <c r="C708" s="5">
        <v>89.1</v>
      </c>
      <c r="D708" s="5">
        <v>51.8</v>
      </c>
      <c r="E708" s="3" t="s">
        <v>11</v>
      </c>
      <c r="F708" s="6">
        <v>44879.054861111108</v>
      </c>
    </row>
    <row r="709" spans="1:6" x14ac:dyDescent="0.3">
      <c r="A709" s="3">
        <v>708</v>
      </c>
      <c r="B709" s="4">
        <f t="shared" si="12"/>
        <v>0.58189977561705308</v>
      </c>
      <c r="C709" s="5">
        <v>133.69999999999999</v>
      </c>
      <c r="D709" s="5">
        <v>77.8</v>
      </c>
      <c r="E709" s="3" t="s">
        <v>11</v>
      </c>
      <c r="F709" s="6">
        <v>44841.551388888889</v>
      </c>
    </row>
    <row r="710" spans="1:6" x14ac:dyDescent="0.3">
      <c r="A710" s="3">
        <v>709</v>
      </c>
      <c r="B710" s="4">
        <f t="shared" si="12"/>
        <v>0.58210947930574097</v>
      </c>
      <c r="C710" s="5">
        <v>74.900000000000006</v>
      </c>
      <c r="D710" s="5">
        <v>43.6</v>
      </c>
      <c r="E710" s="3" t="s">
        <v>11</v>
      </c>
      <c r="F710" s="6">
        <v>46184.061111111107</v>
      </c>
    </row>
    <row r="711" spans="1:6" x14ac:dyDescent="0.3">
      <c r="A711" s="3">
        <v>710</v>
      </c>
      <c r="B711" s="4">
        <f t="shared" si="12"/>
        <v>0.5821917808219178</v>
      </c>
      <c r="C711" s="5">
        <v>87.6</v>
      </c>
      <c r="D711" s="5">
        <v>51</v>
      </c>
      <c r="E711" s="3" t="s">
        <v>7</v>
      </c>
      <c r="F711" s="6">
        <v>44840.071527777778</v>
      </c>
    </row>
    <row r="712" spans="1:6" x14ac:dyDescent="0.3">
      <c r="A712" s="3">
        <v>711</v>
      </c>
      <c r="B712" s="4">
        <f t="shared" si="12"/>
        <v>0.58227848101265822</v>
      </c>
      <c r="C712" s="5">
        <v>94.8</v>
      </c>
      <c r="D712" s="5">
        <v>55.2</v>
      </c>
      <c r="E712" s="3" t="s">
        <v>7</v>
      </c>
      <c r="F712" s="6">
        <v>44477.326388888891</v>
      </c>
    </row>
    <row r="713" spans="1:6" x14ac:dyDescent="0.3">
      <c r="A713" s="3">
        <v>712</v>
      </c>
      <c r="B713" s="4">
        <f t="shared" si="12"/>
        <v>0.58320839580209893</v>
      </c>
      <c r="C713" s="5">
        <v>66.7</v>
      </c>
      <c r="D713" s="5">
        <v>38.9</v>
      </c>
      <c r="E713" s="3" t="s">
        <v>11</v>
      </c>
      <c r="F713" s="6">
        <v>44664.25</v>
      </c>
    </row>
    <row r="714" spans="1:6" x14ac:dyDescent="0.3">
      <c r="A714" s="3">
        <v>713</v>
      </c>
      <c r="B714" s="4">
        <f t="shared" si="12"/>
        <v>0.58499413833528724</v>
      </c>
      <c r="C714" s="5">
        <v>85.3</v>
      </c>
      <c r="D714" s="5">
        <v>49.9</v>
      </c>
      <c r="E714" s="3" t="s">
        <v>11</v>
      </c>
      <c r="F714" s="6">
        <v>45545.305555555547</v>
      </c>
    </row>
    <row r="715" spans="1:6" x14ac:dyDescent="0.3">
      <c r="A715" s="3">
        <v>714</v>
      </c>
      <c r="B715" s="4">
        <f t="shared" si="12"/>
        <v>0.58600583090379021</v>
      </c>
      <c r="C715" s="5">
        <v>68.599999999999994</v>
      </c>
      <c r="D715" s="5">
        <v>40.200000000000003</v>
      </c>
      <c r="E715" s="3" t="s">
        <v>11</v>
      </c>
      <c r="F715" s="6">
        <v>44712.347222222219</v>
      </c>
    </row>
    <row r="716" spans="1:6" x14ac:dyDescent="0.3">
      <c r="A716" s="3">
        <v>715</v>
      </c>
      <c r="B716" s="4">
        <f t="shared" si="12"/>
        <v>0.5868302130406714</v>
      </c>
      <c r="C716" s="5">
        <v>154.9</v>
      </c>
      <c r="D716" s="5">
        <v>90.9</v>
      </c>
      <c r="E716" s="3" t="s">
        <v>11</v>
      </c>
      <c r="F716" s="6">
        <v>44729.365972222222</v>
      </c>
    </row>
    <row r="717" spans="1:6" x14ac:dyDescent="0.3">
      <c r="A717" s="3">
        <v>716</v>
      </c>
      <c r="B717" s="4">
        <f t="shared" si="12"/>
        <v>0.58710801393728229</v>
      </c>
      <c r="C717" s="5">
        <v>57.4</v>
      </c>
      <c r="D717" s="5">
        <v>33.700000000000003</v>
      </c>
      <c r="E717" s="3" t="s">
        <v>7</v>
      </c>
      <c r="F717" s="6">
        <v>45517.519444444442</v>
      </c>
    </row>
    <row r="718" spans="1:6" x14ac:dyDescent="0.3">
      <c r="A718" s="3">
        <v>717</v>
      </c>
      <c r="B718" s="4">
        <f t="shared" si="12"/>
        <v>0.58725099601593633</v>
      </c>
      <c r="C718" s="5">
        <v>125.5</v>
      </c>
      <c r="D718" s="5">
        <v>73.7</v>
      </c>
      <c r="E718" s="3" t="s">
        <v>7</v>
      </c>
      <c r="F718" s="6">
        <v>44445.88958333333</v>
      </c>
    </row>
    <row r="719" spans="1:6" x14ac:dyDescent="0.3">
      <c r="A719" s="3">
        <v>718</v>
      </c>
      <c r="B719" s="4">
        <f t="shared" si="12"/>
        <v>0.58751902587519023</v>
      </c>
      <c r="C719" s="5">
        <v>131.4</v>
      </c>
      <c r="D719" s="5">
        <v>77.2</v>
      </c>
      <c r="E719" s="3" t="s">
        <v>11</v>
      </c>
      <c r="F719" s="6">
        <v>44986.356944444437</v>
      </c>
    </row>
    <row r="720" spans="1:6" x14ac:dyDescent="0.3">
      <c r="A720" s="3">
        <v>719</v>
      </c>
      <c r="B720" s="4">
        <f t="shared" si="12"/>
        <v>0.58778625954198471</v>
      </c>
      <c r="C720" s="5">
        <v>52.4</v>
      </c>
      <c r="D720" s="5">
        <v>30.8</v>
      </c>
      <c r="E720" s="3" t="s">
        <v>11</v>
      </c>
      <c r="F720" s="6">
        <v>44987.510416666657</v>
      </c>
    </row>
    <row r="721" spans="1:6" x14ac:dyDescent="0.3">
      <c r="A721" s="3">
        <v>720</v>
      </c>
      <c r="B721" s="4">
        <f t="shared" si="12"/>
        <v>0.58870967741935487</v>
      </c>
      <c r="C721" s="5">
        <v>86.8</v>
      </c>
      <c r="D721" s="5">
        <v>51.1</v>
      </c>
      <c r="E721" s="3" t="s">
        <v>7</v>
      </c>
      <c r="F721" s="6">
        <v>45721.551388888889</v>
      </c>
    </row>
    <row r="722" spans="1:6" x14ac:dyDescent="0.3">
      <c r="A722" s="3">
        <v>721</v>
      </c>
      <c r="B722" s="4">
        <f t="shared" si="12"/>
        <v>0.58873239436619718</v>
      </c>
      <c r="C722" s="5">
        <v>106.5</v>
      </c>
      <c r="D722" s="5">
        <v>62.7</v>
      </c>
      <c r="E722" s="3" t="s">
        <v>11</v>
      </c>
      <c r="F722" s="6">
        <v>45166.28125</v>
      </c>
    </row>
    <row r="723" spans="1:6" x14ac:dyDescent="0.3">
      <c r="A723" s="3">
        <v>722</v>
      </c>
      <c r="B723" s="4">
        <f t="shared" si="12"/>
        <v>0.58904109589041098</v>
      </c>
      <c r="C723" s="5">
        <v>65.7</v>
      </c>
      <c r="D723" s="5">
        <v>38.700000000000003</v>
      </c>
      <c r="E723" s="3" t="s">
        <v>11</v>
      </c>
      <c r="F723" s="6">
        <v>45715.465277777781</v>
      </c>
    </row>
    <row r="724" spans="1:6" x14ac:dyDescent="0.3">
      <c r="A724" s="3">
        <v>723</v>
      </c>
      <c r="B724" s="4">
        <f t="shared" si="12"/>
        <v>0.58909444985394355</v>
      </c>
      <c r="C724" s="5">
        <v>102.7</v>
      </c>
      <c r="D724" s="5">
        <v>60.5</v>
      </c>
      <c r="E724" s="3" t="s">
        <v>11</v>
      </c>
      <c r="F724" s="6">
        <v>46064.594444444447</v>
      </c>
    </row>
    <row r="725" spans="1:6" x14ac:dyDescent="0.3">
      <c r="A725" s="3">
        <v>724</v>
      </c>
      <c r="B725" s="4">
        <f t="shared" si="12"/>
        <v>0.5893886966551326</v>
      </c>
      <c r="C725" s="5">
        <v>86.7</v>
      </c>
      <c r="D725" s="5">
        <v>51.1</v>
      </c>
      <c r="E725" s="3" t="s">
        <v>11</v>
      </c>
      <c r="F725" s="6">
        <v>45848.95</v>
      </c>
    </row>
    <row r="726" spans="1:6" x14ac:dyDescent="0.3">
      <c r="A726" s="3">
        <v>725</v>
      </c>
      <c r="B726" s="4">
        <f t="shared" si="12"/>
        <v>0.58962962962962961</v>
      </c>
      <c r="C726" s="5">
        <v>67.5</v>
      </c>
      <c r="D726" s="5">
        <v>39.799999999999997</v>
      </c>
      <c r="E726" s="3" t="s">
        <v>11</v>
      </c>
      <c r="F726" s="6">
        <v>44727.609722222223</v>
      </c>
    </row>
    <row r="727" spans="1:6" x14ac:dyDescent="0.3">
      <c r="A727" s="3">
        <v>726</v>
      </c>
      <c r="B727" s="4">
        <f t="shared" si="12"/>
        <v>0.58989598811292721</v>
      </c>
      <c r="C727" s="5">
        <v>67.3</v>
      </c>
      <c r="D727" s="5">
        <v>39.700000000000003</v>
      </c>
      <c r="E727" s="3" t="s">
        <v>11</v>
      </c>
      <c r="F727" s="6">
        <v>45566.082638888889</v>
      </c>
    </row>
    <row r="728" spans="1:6" x14ac:dyDescent="0.3">
      <c r="A728" s="3">
        <v>727</v>
      </c>
      <c r="B728" s="4">
        <f t="shared" si="12"/>
        <v>0.59037558685446001</v>
      </c>
      <c r="C728" s="5">
        <v>85.2</v>
      </c>
      <c r="D728" s="5">
        <v>50.3</v>
      </c>
      <c r="E728" s="3" t="s">
        <v>7</v>
      </c>
      <c r="F728" s="6">
        <v>45602.917361111111</v>
      </c>
    </row>
    <row r="729" spans="1:6" x14ac:dyDescent="0.3">
      <c r="A729" s="3">
        <v>728</v>
      </c>
      <c r="B729" s="4">
        <f t="shared" si="12"/>
        <v>0.59043659043659036</v>
      </c>
      <c r="C729" s="5">
        <v>96.2</v>
      </c>
      <c r="D729" s="5">
        <v>56.8</v>
      </c>
      <c r="E729" s="3" t="s">
        <v>7</v>
      </c>
      <c r="F729" s="6">
        <v>45489.538194444453</v>
      </c>
    </row>
    <row r="730" spans="1:6" x14ac:dyDescent="0.3">
      <c r="A730" s="3">
        <v>729</v>
      </c>
      <c r="B730" s="4">
        <f t="shared" si="12"/>
        <v>0.59095860566448799</v>
      </c>
      <c r="C730" s="5">
        <v>183.6</v>
      </c>
      <c r="D730" s="5">
        <v>108.5</v>
      </c>
      <c r="E730" s="3" t="s">
        <v>7</v>
      </c>
      <c r="F730" s="6">
        <v>44852.095138888893</v>
      </c>
    </row>
    <row r="731" spans="1:6" x14ac:dyDescent="0.3">
      <c r="A731" s="3">
        <v>730</v>
      </c>
      <c r="B731" s="4">
        <f t="shared" si="12"/>
        <v>0.59163987138263674</v>
      </c>
      <c r="C731" s="5">
        <v>93.3</v>
      </c>
      <c r="D731" s="5">
        <v>55.2</v>
      </c>
      <c r="E731" s="3" t="s">
        <v>11</v>
      </c>
      <c r="F731" s="6">
        <v>44775.551388888889</v>
      </c>
    </row>
    <row r="732" spans="1:6" x14ac:dyDescent="0.3">
      <c r="A732" s="3">
        <v>731</v>
      </c>
      <c r="B732" s="4">
        <f t="shared" si="12"/>
        <v>0.59166666666666667</v>
      </c>
      <c r="C732" s="5">
        <v>72</v>
      </c>
      <c r="D732" s="5">
        <v>42.6</v>
      </c>
      <c r="E732" s="3" t="s">
        <v>7</v>
      </c>
      <c r="F732" s="6">
        <v>45714.247916666667</v>
      </c>
    </row>
    <row r="733" spans="1:6" x14ac:dyDescent="0.3">
      <c r="A733" s="3">
        <v>732</v>
      </c>
      <c r="B733" s="4">
        <f t="shared" si="12"/>
        <v>0.59172019985724489</v>
      </c>
      <c r="C733" s="5">
        <v>140.1</v>
      </c>
      <c r="D733" s="5">
        <v>82.9</v>
      </c>
      <c r="E733" s="3" t="s">
        <v>11</v>
      </c>
      <c r="F733" s="6">
        <v>45012.463888888888</v>
      </c>
    </row>
    <row r="734" spans="1:6" x14ac:dyDescent="0.3">
      <c r="A734" s="3">
        <v>733</v>
      </c>
      <c r="B734" s="4">
        <f t="shared" si="12"/>
        <v>0.59183673469387754</v>
      </c>
      <c r="C734" s="5">
        <v>112.7</v>
      </c>
      <c r="D734" s="5">
        <v>66.7</v>
      </c>
      <c r="E734" s="3" t="s">
        <v>11</v>
      </c>
      <c r="F734" s="6">
        <v>44830.571527777778</v>
      </c>
    </row>
    <row r="735" spans="1:6" x14ac:dyDescent="0.3">
      <c r="A735" s="3">
        <v>734</v>
      </c>
      <c r="B735" s="4">
        <f t="shared" si="12"/>
        <v>0.59230769230769231</v>
      </c>
      <c r="C735" s="5">
        <v>52</v>
      </c>
      <c r="D735" s="5">
        <v>30.8</v>
      </c>
      <c r="E735" s="3" t="s">
        <v>7</v>
      </c>
      <c r="F735" s="6">
        <v>45629.102777777778</v>
      </c>
    </row>
    <row r="736" spans="1:6" x14ac:dyDescent="0.3">
      <c r="A736" s="3">
        <v>735</v>
      </c>
      <c r="B736" s="4">
        <f t="shared" si="12"/>
        <v>0.59253945480631265</v>
      </c>
      <c r="C736" s="5">
        <v>69.7</v>
      </c>
      <c r="D736" s="5">
        <v>41.3</v>
      </c>
      <c r="E736" s="3" t="s">
        <v>11</v>
      </c>
      <c r="F736" s="6">
        <v>45216.493055555547</v>
      </c>
    </row>
    <row r="737" spans="1:6" x14ac:dyDescent="0.3">
      <c r="A737" s="3">
        <v>736</v>
      </c>
      <c r="B737" s="4">
        <f t="shared" si="12"/>
        <v>0.59259259259259256</v>
      </c>
      <c r="C737" s="5">
        <v>135</v>
      </c>
      <c r="D737" s="5">
        <v>80</v>
      </c>
      <c r="E737" s="3" t="s">
        <v>11</v>
      </c>
      <c r="F737" s="6">
        <v>44831.917361111111</v>
      </c>
    </row>
    <row r="738" spans="1:6" x14ac:dyDescent="0.3">
      <c r="A738" s="3">
        <v>737</v>
      </c>
      <c r="B738" s="4">
        <f t="shared" si="12"/>
        <v>0.5929978118161926</v>
      </c>
      <c r="C738" s="5">
        <v>91.4</v>
      </c>
      <c r="D738" s="5">
        <v>54.2</v>
      </c>
      <c r="E738" s="3" t="s">
        <v>11</v>
      </c>
      <c r="F738" s="6">
        <v>44452.623611111107</v>
      </c>
    </row>
    <row r="739" spans="1:6" x14ac:dyDescent="0.3">
      <c r="A739" s="3">
        <v>738</v>
      </c>
      <c r="B739" s="4">
        <f t="shared" si="12"/>
        <v>0.59332191780821919</v>
      </c>
      <c r="C739" s="5">
        <v>116.8</v>
      </c>
      <c r="D739" s="5">
        <v>69.3</v>
      </c>
      <c r="E739" s="3" t="s">
        <v>7</v>
      </c>
      <c r="F739" s="6">
        <v>45110.326388888891</v>
      </c>
    </row>
    <row r="740" spans="1:6" x14ac:dyDescent="0.3">
      <c r="A740" s="3">
        <v>739</v>
      </c>
      <c r="B740" s="4">
        <f t="shared" si="12"/>
        <v>0.59400544959128065</v>
      </c>
      <c r="C740" s="5">
        <v>73.400000000000006</v>
      </c>
      <c r="D740" s="5">
        <v>43.6</v>
      </c>
      <c r="E740" s="3" t="s">
        <v>11</v>
      </c>
      <c r="F740" s="6">
        <v>44733.57916666667</v>
      </c>
    </row>
    <row r="741" spans="1:6" x14ac:dyDescent="0.3">
      <c r="A741" s="3">
        <v>740</v>
      </c>
      <c r="B741" s="4">
        <f t="shared" si="12"/>
        <v>0.59464285714285714</v>
      </c>
      <c r="C741" s="5">
        <v>112</v>
      </c>
      <c r="D741" s="5">
        <v>66.599999999999994</v>
      </c>
      <c r="E741" s="3" t="s">
        <v>11</v>
      </c>
      <c r="F741" s="6">
        <v>45856.076388888891</v>
      </c>
    </row>
    <row r="742" spans="1:6" x14ac:dyDescent="0.3">
      <c r="A742" s="3">
        <v>741</v>
      </c>
      <c r="B742" s="4">
        <f t="shared" si="12"/>
        <v>0.59466666666666668</v>
      </c>
      <c r="C742" s="5">
        <v>75</v>
      </c>
      <c r="D742" s="5">
        <v>44.6</v>
      </c>
      <c r="E742" s="3" t="s">
        <v>11</v>
      </c>
      <c r="F742" s="6">
        <v>46036.612500000003</v>
      </c>
    </row>
    <row r="743" spans="1:6" x14ac:dyDescent="0.3">
      <c r="A743" s="3">
        <v>742</v>
      </c>
      <c r="B743" s="4">
        <f t="shared" si="12"/>
        <v>0.59512761020881666</v>
      </c>
      <c r="C743" s="5">
        <v>86.2</v>
      </c>
      <c r="D743" s="5">
        <v>51.3</v>
      </c>
      <c r="E743" s="3" t="s">
        <v>11</v>
      </c>
      <c r="F743" s="6">
        <v>44720.668055555558</v>
      </c>
    </row>
    <row r="744" spans="1:6" x14ac:dyDescent="0.3">
      <c r="A744" s="3">
        <v>743</v>
      </c>
      <c r="B744" s="4">
        <f t="shared" si="12"/>
        <v>0.5958149779735683</v>
      </c>
      <c r="C744" s="5">
        <v>90.8</v>
      </c>
      <c r="D744" s="5">
        <v>54.1</v>
      </c>
      <c r="E744" s="3" t="s">
        <v>11</v>
      </c>
      <c r="F744" s="6">
        <v>45756.722916666673</v>
      </c>
    </row>
    <row r="745" spans="1:6" x14ac:dyDescent="0.3">
      <c r="A745" s="3">
        <v>744</v>
      </c>
      <c r="B745" s="4">
        <f t="shared" si="12"/>
        <v>0.59583333333333333</v>
      </c>
      <c r="C745" s="5">
        <v>72</v>
      </c>
      <c r="D745" s="5">
        <v>42.9</v>
      </c>
      <c r="E745" s="3" t="s">
        <v>7</v>
      </c>
      <c r="F745" s="6">
        <v>45531.523611111108</v>
      </c>
    </row>
    <row r="746" spans="1:6" x14ac:dyDescent="0.3">
      <c r="A746" s="3">
        <v>745</v>
      </c>
      <c r="B746" s="4">
        <f t="shared" si="12"/>
        <v>0.59587955625990496</v>
      </c>
      <c r="C746" s="5">
        <v>63.1</v>
      </c>
      <c r="D746" s="5">
        <v>37.6</v>
      </c>
      <c r="E746" s="3" t="s">
        <v>7</v>
      </c>
      <c r="F746" s="6">
        <v>45313.370138888888</v>
      </c>
    </row>
    <row r="747" spans="1:6" x14ac:dyDescent="0.3">
      <c r="A747" s="3">
        <v>746</v>
      </c>
      <c r="B747" s="4">
        <f t="shared" si="12"/>
        <v>0.59620148637489678</v>
      </c>
      <c r="C747" s="5">
        <v>121.1</v>
      </c>
      <c r="D747" s="5">
        <v>72.2</v>
      </c>
      <c r="E747" s="3" t="s">
        <v>11</v>
      </c>
      <c r="F747" s="6">
        <v>45218.570138888892</v>
      </c>
    </row>
    <row r="748" spans="1:6" x14ac:dyDescent="0.3">
      <c r="A748" s="3">
        <v>747</v>
      </c>
      <c r="B748" s="4">
        <f t="shared" si="12"/>
        <v>0.59624217118997913</v>
      </c>
      <c r="C748" s="5">
        <v>239.5</v>
      </c>
      <c r="D748" s="5">
        <v>142.80000000000001</v>
      </c>
      <c r="E748" s="3" t="s">
        <v>7</v>
      </c>
      <c r="F748" s="6">
        <v>44847.521527777782</v>
      </c>
    </row>
    <row r="749" spans="1:6" x14ac:dyDescent="0.3">
      <c r="A749" s="3">
        <v>748</v>
      </c>
      <c r="B749" s="4">
        <f t="shared" si="12"/>
        <v>0.59644970414201182</v>
      </c>
      <c r="C749" s="5">
        <v>84.5</v>
      </c>
      <c r="D749" s="5">
        <v>50.4</v>
      </c>
      <c r="E749" s="3" t="s">
        <v>7</v>
      </c>
      <c r="F749" s="6">
        <v>44978.787499999999</v>
      </c>
    </row>
    <row r="750" spans="1:6" x14ac:dyDescent="0.3">
      <c r="A750" s="3">
        <v>749</v>
      </c>
      <c r="B750" s="4">
        <f t="shared" si="12"/>
        <v>0.59692307692307689</v>
      </c>
      <c r="C750" s="5">
        <v>65</v>
      </c>
      <c r="D750" s="5">
        <v>38.799999999999997</v>
      </c>
      <c r="E750" s="3" t="s">
        <v>7</v>
      </c>
      <c r="F750" s="6">
        <v>45642.614583333343</v>
      </c>
    </row>
    <row r="751" spans="1:6" x14ac:dyDescent="0.3">
      <c r="A751" s="3">
        <v>750</v>
      </c>
      <c r="B751" s="4">
        <f t="shared" si="12"/>
        <v>0.59713375796178347</v>
      </c>
      <c r="C751" s="5">
        <v>62.8</v>
      </c>
      <c r="D751" s="5">
        <v>37.5</v>
      </c>
      <c r="E751" s="3" t="s">
        <v>7</v>
      </c>
      <c r="F751" s="6">
        <v>44820.540972222218</v>
      </c>
    </row>
    <row r="752" spans="1:6" x14ac:dyDescent="0.3">
      <c r="A752" s="3">
        <v>751</v>
      </c>
      <c r="B752" s="4">
        <f t="shared" si="12"/>
        <v>0.59769167353668595</v>
      </c>
      <c r="C752" s="5">
        <v>121.3</v>
      </c>
      <c r="D752" s="5">
        <v>72.5</v>
      </c>
      <c r="E752" s="3" t="s">
        <v>11</v>
      </c>
      <c r="F752" s="6">
        <v>44914.7</v>
      </c>
    </row>
    <row r="753" spans="1:6" x14ac:dyDescent="0.3">
      <c r="A753" s="3">
        <v>752</v>
      </c>
      <c r="B753" s="4">
        <f t="shared" si="12"/>
        <v>0.59788359788359779</v>
      </c>
      <c r="C753" s="5">
        <v>56.7</v>
      </c>
      <c r="D753" s="5">
        <v>33.9</v>
      </c>
      <c r="E753" s="3" t="s">
        <v>7</v>
      </c>
      <c r="F753" s="6">
        <v>46056.795138888891</v>
      </c>
    </row>
    <row r="754" spans="1:6" x14ac:dyDescent="0.3">
      <c r="A754" s="3">
        <v>753</v>
      </c>
      <c r="B754" s="4">
        <f t="shared" si="12"/>
        <v>0.59818181818181815</v>
      </c>
      <c r="C754" s="5">
        <v>55</v>
      </c>
      <c r="D754" s="5">
        <v>32.9</v>
      </c>
      <c r="E754" s="3" t="s">
        <v>7</v>
      </c>
      <c r="F754" s="6">
        <v>45410.888194444437</v>
      </c>
    </row>
    <row r="755" spans="1:6" x14ac:dyDescent="0.3">
      <c r="A755" s="3">
        <v>754</v>
      </c>
      <c r="B755" s="4">
        <f t="shared" si="12"/>
        <v>0.59847660500544064</v>
      </c>
      <c r="C755" s="5">
        <v>91.9</v>
      </c>
      <c r="D755" s="5">
        <v>55</v>
      </c>
      <c r="E755" s="3" t="s">
        <v>11</v>
      </c>
      <c r="F755" s="6">
        <v>45408.792361111111</v>
      </c>
    </row>
    <row r="756" spans="1:6" x14ac:dyDescent="0.3">
      <c r="A756" s="3">
        <v>755</v>
      </c>
      <c r="B756" s="4">
        <f t="shared" si="12"/>
        <v>0.59850107066381153</v>
      </c>
      <c r="C756" s="5">
        <v>93.4</v>
      </c>
      <c r="D756" s="5">
        <v>55.9</v>
      </c>
      <c r="E756" s="3" t="s">
        <v>11</v>
      </c>
      <c r="F756" s="6">
        <v>44854.179861111108</v>
      </c>
    </row>
    <row r="757" spans="1:6" x14ac:dyDescent="0.3">
      <c r="A757" s="3">
        <v>756</v>
      </c>
      <c r="B757" s="4">
        <f t="shared" si="12"/>
        <v>0.5993031358885017</v>
      </c>
      <c r="C757" s="5">
        <v>114.8</v>
      </c>
      <c r="D757" s="5">
        <v>68.8</v>
      </c>
      <c r="E757" s="3" t="s">
        <v>11</v>
      </c>
      <c r="F757" s="6">
        <v>44684.188888888893</v>
      </c>
    </row>
    <row r="758" spans="1:6" x14ac:dyDescent="0.3">
      <c r="A758" s="3">
        <v>757</v>
      </c>
      <c r="B758" s="4">
        <f t="shared" si="12"/>
        <v>0.59940431868950106</v>
      </c>
      <c r="C758" s="5">
        <v>134.30000000000001</v>
      </c>
      <c r="D758" s="5">
        <v>80.5</v>
      </c>
      <c r="E758" s="3" t="s">
        <v>7</v>
      </c>
      <c r="F758" s="6">
        <v>45798.392361111109</v>
      </c>
    </row>
    <row r="759" spans="1:6" x14ac:dyDescent="0.3">
      <c r="A759" s="3">
        <v>758</v>
      </c>
      <c r="B759" s="4">
        <f t="shared" si="12"/>
        <v>0.59976105137395463</v>
      </c>
      <c r="C759" s="5">
        <v>83.7</v>
      </c>
      <c r="D759" s="5">
        <v>50.2</v>
      </c>
      <c r="E759" s="3" t="s">
        <v>7</v>
      </c>
      <c r="F759" s="6">
        <v>44845.428472222222</v>
      </c>
    </row>
    <row r="760" spans="1:6" x14ac:dyDescent="0.3">
      <c r="A760" s="3">
        <v>759</v>
      </c>
      <c r="B760" s="4">
        <f t="shared" si="12"/>
        <v>0.6</v>
      </c>
      <c r="C760" s="5">
        <v>55</v>
      </c>
      <c r="D760" s="5">
        <v>33</v>
      </c>
      <c r="E760" s="3" t="s">
        <v>11</v>
      </c>
      <c r="F760" s="6">
        <v>44564.384722222218</v>
      </c>
    </row>
    <row r="761" spans="1:6" x14ac:dyDescent="0.3">
      <c r="A761" s="3">
        <v>760</v>
      </c>
      <c r="B761" s="4">
        <f t="shared" si="12"/>
        <v>0.6</v>
      </c>
      <c r="C761" s="5">
        <v>99</v>
      </c>
      <c r="D761" s="5">
        <v>59.4</v>
      </c>
      <c r="E761" s="3" t="s">
        <v>11</v>
      </c>
      <c r="F761" s="6">
        <v>44776.168055555558</v>
      </c>
    </row>
    <row r="762" spans="1:6" x14ac:dyDescent="0.3">
      <c r="A762" s="3">
        <v>761</v>
      </c>
      <c r="B762" s="4">
        <f t="shared" si="12"/>
        <v>0.60024009603841544</v>
      </c>
      <c r="C762" s="5">
        <v>83.3</v>
      </c>
      <c r="D762" s="5">
        <v>50</v>
      </c>
      <c r="E762" s="3" t="s">
        <v>11</v>
      </c>
      <c r="F762" s="6">
        <v>44763.4375</v>
      </c>
    </row>
    <row r="763" spans="1:6" x14ac:dyDescent="0.3">
      <c r="A763" s="3">
        <v>762</v>
      </c>
      <c r="B763" s="4">
        <f t="shared" si="12"/>
        <v>0.60080321285140559</v>
      </c>
      <c r="C763" s="5">
        <v>124.5</v>
      </c>
      <c r="D763" s="5">
        <v>74.8</v>
      </c>
      <c r="E763" s="3" t="s">
        <v>7</v>
      </c>
      <c r="F763" s="6">
        <v>44735.709027777782</v>
      </c>
    </row>
    <row r="764" spans="1:6" x14ac:dyDescent="0.3">
      <c r="A764" s="3">
        <v>763</v>
      </c>
      <c r="B764" s="4">
        <f t="shared" si="12"/>
        <v>0.60112359550561789</v>
      </c>
      <c r="C764" s="5">
        <v>71.2</v>
      </c>
      <c r="D764" s="5">
        <v>42.8</v>
      </c>
      <c r="E764" s="3" t="s">
        <v>11</v>
      </c>
      <c r="F764" s="6">
        <v>45804.54583333333</v>
      </c>
    </row>
    <row r="765" spans="1:6" x14ac:dyDescent="0.3">
      <c r="A765" s="3">
        <v>764</v>
      </c>
      <c r="B765" s="4">
        <f t="shared" si="12"/>
        <v>0.60171306209850106</v>
      </c>
      <c r="C765" s="5">
        <v>93.4</v>
      </c>
      <c r="D765" s="5">
        <v>56.2</v>
      </c>
      <c r="E765" s="3" t="s">
        <v>11</v>
      </c>
      <c r="F765" s="6">
        <v>44874.631944444453</v>
      </c>
    </row>
    <row r="766" spans="1:6" x14ac:dyDescent="0.3">
      <c r="A766" s="3">
        <v>765</v>
      </c>
      <c r="B766" s="4">
        <f t="shared" si="12"/>
        <v>0.60186915887850467</v>
      </c>
      <c r="C766" s="5">
        <v>53.5</v>
      </c>
      <c r="D766" s="5">
        <v>32.200000000000003</v>
      </c>
      <c r="E766" s="3" t="s">
        <v>7</v>
      </c>
      <c r="F766" s="6">
        <v>45931.047222222223</v>
      </c>
    </row>
    <row r="767" spans="1:6" x14ac:dyDescent="0.3">
      <c r="A767" s="3">
        <v>766</v>
      </c>
      <c r="B767" s="4">
        <f t="shared" si="12"/>
        <v>0.6028368794326241</v>
      </c>
      <c r="C767" s="5">
        <v>98.7</v>
      </c>
      <c r="D767" s="5">
        <v>59.5</v>
      </c>
      <c r="E767" s="3" t="s">
        <v>11</v>
      </c>
      <c r="F767" s="6">
        <v>45533.308333333327</v>
      </c>
    </row>
    <row r="768" spans="1:6" x14ac:dyDescent="0.3">
      <c r="A768" s="3">
        <v>767</v>
      </c>
      <c r="B768" s="4">
        <f t="shared" si="12"/>
        <v>0.6034031413612565</v>
      </c>
      <c r="C768" s="5">
        <v>76.400000000000006</v>
      </c>
      <c r="D768" s="5">
        <v>46.1</v>
      </c>
      <c r="E768" s="3" t="s">
        <v>7</v>
      </c>
      <c r="F768" s="6">
        <v>45065.615277777782</v>
      </c>
    </row>
    <row r="769" spans="1:6" x14ac:dyDescent="0.3">
      <c r="A769" s="3">
        <v>768</v>
      </c>
      <c r="B769" s="4">
        <f t="shared" si="12"/>
        <v>0.60392156862745094</v>
      </c>
      <c r="C769" s="5">
        <v>102</v>
      </c>
      <c r="D769" s="5">
        <v>61.6</v>
      </c>
      <c r="E769" s="3" t="s">
        <v>11</v>
      </c>
      <c r="F769" s="6">
        <v>44909.416666666657</v>
      </c>
    </row>
    <row r="770" spans="1:6" x14ac:dyDescent="0.3">
      <c r="A770" s="3">
        <v>769</v>
      </c>
      <c r="B770" s="4">
        <f t="shared" ref="B770:B833" si="13">D770/C770</f>
        <v>0.60450997398091944</v>
      </c>
      <c r="C770" s="5">
        <v>115.3</v>
      </c>
      <c r="D770" s="5">
        <v>69.7</v>
      </c>
      <c r="E770" s="3" t="s">
        <v>11</v>
      </c>
      <c r="F770" s="6">
        <v>44634.533333333333</v>
      </c>
    </row>
    <row r="771" spans="1:6" x14ac:dyDescent="0.3">
      <c r="A771" s="3">
        <v>770</v>
      </c>
      <c r="B771" s="4">
        <f t="shared" si="13"/>
        <v>0.60460992907801425</v>
      </c>
      <c r="C771" s="5">
        <v>56.4</v>
      </c>
      <c r="D771" s="5">
        <v>34.1</v>
      </c>
      <c r="E771" s="3" t="s">
        <v>7</v>
      </c>
      <c r="F771" s="6">
        <v>44993.717361111107</v>
      </c>
    </row>
    <row r="772" spans="1:6" x14ac:dyDescent="0.3">
      <c r="A772" s="3">
        <v>771</v>
      </c>
      <c r="B772" s="4">
        <f t="shared" si="13"/>
        <v>0.60462130937098846</v>
      </c>
      <c r="C772" s="5">
        <v>77.900000000000006</v>
      </c>
      <c r="D772" s="5">
        <v>47.1</v>
      </c>
      <c r="E772" s="3" t="s">
        <v>7</v>
      </c>
      <c r="F772" s="6">
        <v>44887.697916666657</v>
      </c>
    </row>
    <row r="773" spans="1:6" x14ac:dyDescent="0.3">
      <c r="A773" s="3">
        <v>772</v>
      </c>
      <c r="B773" s="4">
        <f t="shared" si="13"/>
        <v>0.60470085470085477</v>
      </c>
      <c r="C773" s="5">
        <v>93.6</v>
      </c>
      <c r="D773" s="5">
        <v>56.6</v>
      </c>
      <c r="E773" s="3" t="s">
        <v>7</v>
      </c>
      <c r="F773" s="6">
        <v>44988.629166666673</v>
      </c>
    </row>
    <row r="774" spans="1:6" x14ac:dyDescent="0.3">
      <c r="A774" s="3">
        <v>773</v>
      </c>
      <c r="B774" s="4">
        <f t="shared" si="13"/>
        <v>0.60534846029173417</v>
      </c>
      <c r="C774" s="5">
        <v>123.4</v>
      </c>
      <c r="D774" s="5">
        <v>74.7</v>
      </c>
      <c r="E774" s="3" t="s">
        <v>7</v>
      </c>
      <c r="F774" s="6">
        <v>45447.448611111111</v>
      </c>
    </row>
    <row r="775" spans="1:6" x14ac:dyDescent="0.3">
      <c r="A775" s="3">
        <v>774</v>
      </c>
      <c r="B775" s="4">
        <f t="shared" si="13"/>
        <v>0.60535714285714282</v>
      </c>
      <c r="C775" s="5">
        <v>112</v>
      </c>
      <c r="D775" s="5">
        <v>67.8</v>
      </c>
      <c r="E775" s="3" t="s">
        <v>7</v>
      </c>
      <c r="F775" s="6">
        <v>45482.65347222222</v>
      </c>
    </row>
    <row r="776" spans="1:6" x14ac:dyDescent="0.3">
      <c r="A776" s="3">
        <v>775</v>
      </c>
      <c r="B776" s="4">
        <f t="shared" si="13"/>
        <v>0.60548722800378429</v>
      </c>
      <c r="C776" s="5">
        <v>105.7</v>
      </c>
      <c r="D776" s="5">
        <v>64</v>
      </c>
      <c r="E776" s="3" t="s">
        <v>7</v>
      </c>
      <c r="F776" s="6">
        <v>44487.632638888892</v>
      </c>
    </row>
    <row r="777" spans="1:6" x14ac:dyDescent="0.3">
      <c r="A777" s="3">
        <v>776</v>
      </c>
      <c r="B777" s="4">
        <f t="shared" si="13"/>
        <v>0.60563380281690138</v>
      </c>
      <c r="C777" s="5">
        <v>85.2</v>
      </c>
      <c r="D777" s="5">
        <v>51.6</v>
      </c>
      <c r="E777" s="3" t="s">
        <v>11</v>
      </c>
      <c r="F777" s="6">
        <v>44858.433333333327</v>
      </c>
    </row>
    <row r="778" spans="1:6" x14ac:dyDescent="0.3">
      <c r="A778" s="3">
        <v>777</v>
      </c>
      <c r="B778" s="4">
        <f t="shared" si="13"/>
        <v>0.60646387832699611</v>
      </c>
      <c r="C778" s="5">
        <v>105.2</v>
      </c>
      <c r="D778" s="5">
        <v>63.8</v>
      </c>
      <c r="E778" s="3" t="s">
        <v>7</v>
      </c>
      <c r="F778" s="6">
        <v>45987.480555555558</v>
      </c>
    </row>
    <row r="779" spans="1:6" x14ac:dyDescent="0.3">
      <c r="A779" s="3">
        <v>778</v>
      </c>
      <c r="B779" s="4">
        <f t="shared" si="13"/>
        <v>0.60658307210031359</v>
      </c>
      <c r="C779" s="5">
        <v>63.8</v>
      </c>
      <c r="D779" s="5">
        <v>38.700000000000003</v>
      </c>
      <c r="E779" s="3" t="s">
        <v>7</v>
      </c>
      <c r="F779" s="6">
        <v>46182.00277777778</v>
      </c>
    </row>
    <row r="780" spans="1:6" x14ac:dyDescent="0.3">
      <c r="A780" s="3">
        <v>779</v>
      </c>
      <c r="B780" s="4">
        <f t="shared" si="13"/>
        <v>0.60691823899371067</v>
      </c>
      <c r="C780" s="5">
        <v>95.4</v>
      </c>
      <c r="D780" s="5">
        <v>57.9</v>
      </c>
      <c r="E780" s="3" t="s">
        <v>7</v>
      </c>
      <c r="F780" s="6">
        <v>44802.62222222222</v>
      </c>
    </row>
    <row r="781" spans="1:6" x14ac:dyDescent="0.3">
      <c r="A781" s="3">
        <v>780</v>
      </c>
      <c r="B781" s="4">
        <f t="shared" si="13"/>
        <v>0.60767790262172294</v>
      </c>
      <c r="C781" s="5">
        <v>106.8</v>
      </c>
      <c r="D781" s="5">
        <v>64.900000000000006</v>
      </c>
      <c r="E781" s="3" t="s">
        <v>7</v>
      </c>
      <c r="F781" s="6">
        <v>46148.706944444442</v>
      </c>
    </row>
    <row r="782" spans="1:6" x14ac:dyDescent="0.3">
      <c r="A782" s="3">
        <v>781</v>
      </c>
      <c r="B782" s="4">
        <f t="shared" si="13"/>
        <v>0.60820895522388063</v>
      </c>
      <c r="C782" s="5">
        <v>53.6</v>
      </c>
      <c r="D782" s="5">
        <v>32.6</v>
      </c>
      <c r="E782" s="3" t="s">
        <v>7</v>
      </c>
      <c r="F782" s="6">
        <v>45749.302083333343</v>
      </c>
    </row>
    <row r="783" spans="1:6" x14ac:dyDescent="0.3">
      <c r="A783" s="3">
        <v>782</v>
      </c>
      <c r="B783" s="4">
        <f t="shared" si="13"/>
        <v>0.60899437851342908</v>
      </c>
      <c r="C783" s="5">
        <v>160.1</v>
      </c>
      <c r="D783" s="5">
        <v>97.5</v>
      </c>
      <c r="E783" s="3" t="s">
        <v>7</v>
      </c>
      <c r="F783" s="6">
        <v>45299.399305555547</v>
      </c>
    </row>
    <row r="784" spans="1:6" x14ac:dyDescent="0.3">
      <c r="A784" s="3">
        <v>783</v>
      </c>
      <c r="B784" s="4">
        <f t="shared" si="13"/>
        <v>0.60902977905859756</v>
      </c>
      <c r="C784" s="5">
        <v>104.1</v>
      </c>
      <c r="D784" s="5">
        <v>63.4</v>
      </c>
      <c r="E784" s="3" t="s">
        <v>7</v>
      </c>
      <c r="F784" s="6">
        <v>45142.520833333343</v>
      </c>
    </row>
    <row r="785" spans="1:6" x14ac:dyDescent="0.3">
      <c r="A785" s="3">
        <v>784</v>
      </c>
      <c r="B785" s="4">
        <f t="shared" si="13"/>
        <v>0.61068702290076338</v>
      </c>
      <c r="C785" s="5">
        <v>78.599999999999994</v>
      </c>
      <c r="D785" s="5">
        <v>48</v>
      </c>
      <c r="E785" s="3" t="s">
        <v>11</v>
      </c>
      <c r="F785" s="6">
        <v>44971.754861111112</v>
      </c>
    </row>
    <row r="786" spans="1:6" x14ac:dyDescent="0.3">
      <c r="A786" s="3">
        <v>785</v>
      </c>
      <c r="B786" s="4">
        <f t="shared" si="13"/>
        <v>0.61237113402061849</v>
      </c>
      <c r="C786" s="5">
        <v>145.5</v>
      </c>
      <c r="D786" s="5">
        <v>89.1</v>
      </c>
      <c r="E786" s="3" t="s">
        <v>7</v>
      </c>
      <c r="F786" s="6">
        <v>44878.936805555553</v>
      </c>
    </row>
    <row r="787" spans="1:6" x14ac:dyDescent="0.3">
      <c r="A787" s="3">
        <v>786</v>
      </c>
      <c r="B787" s="4">
        <f t="shared" si="13"/>
        <v>0.61262959472196044</v>
      </c>
      <c r="C787" s="5">
        <v>106.1</v>
      </c>
      <c r="D787" s="5">
        <v>65</v>
      </c>
      <c r="E787" s="3" t="s">
        <v>11</v>
      </c>
      <c r="F787" s="6">
        <v>44700.178472222222</v>
      </c>
    </row>
    <row r="788" spans="1:6" x14ac:dyDescent="0.3">
      <c r="A788" s="3">
        <v>787</v>
      </c>
      <c r="B788" s="4">
        <f t="shared" si="13"/>
        <v>0.61286681715575619</v>
      </c>
      <c r="C788" s="5">
        <v>88.6</v>
      </c>
      <c r="D788" s="5">
        <v>54.3</v>
      </c>
      <c r="E788" s="3" t="s">
        <v>7</v>
      </c>
      <c r="F788" s="6">
        <v>44543.322222222218</v>
      </c>
    </row>
    <row r="789" spans="1:6" x14ac:dyDescent="0.3">
      <c r="A789" s="3">
        <v>788</v>
      </c>
      <c r="B789" s="4">
        <f t="shared" si="13"/>
        <v>0.61415929203539832</v>
      </c>
      <c r="C789" s="5">
        <v>56.5</v>
      </c>
      <c r="D789" s="5">
        <v>34.700000000000003</v>
      </c>
      <c r="E789" s="3" t="s">
        <v>7</v>
      </c>
      <c r="F789" s="6">
        <v>45875.357638888891</v>
      </c>
    </row>
    <row r="790" spans="1:6" x14ac:dyDescent="0.3">
      <c r="A790" s="3">
        <v>789</v>
      </c>
      <c r="B790" s="4">
        <f t="shared" si="13"/>
        <v>0.61534947464595702</v>
      </c>
      <c r="C790" s="5">
        <v>218.9</v>
      </c>
      <c r="D790" s="5">
        <v>134.69999999999999</v>
      </c>
      <c r="E790" s="3" t="s">
        <v>7</v>
      </c>
      <c r="F790" s="6">
        <v>45097.606944444437</v>
      </c>
    </row>
    <row r="791" spans="1:6" x14ac:dyDescent="0.3">
      <c r="A791" s="3">
        <v>790</v>
      </c>
      <c r="B791" s="4">
        <f t="shared" si="13"/>
        <v>0.61591695501730104</v>
      </c>
      <c r="C791" s="5">
        <v>86.7</v>
      </c>
      <c r="D791" s="5">
        <v>53.4</v>
      </c>
      <c r="E791" s="3" t="s">
        <v>7</v>
      </c>
      <c r="F791" s="6">
        <v>45757.689583333333</v>
      </c>
    </row>
    <row r="792" spans="1:6" x14ac:dyDescent="0.3">
      <c r="A792" s="3">
        <v>791</v>
      </c>
      <c r="B792" s="4">
        <f t="shared" si="13"/>
        <v>0.61605316973415136</v>
      </c>
      <c r="C792" s="5">
        <v>195.6</v>
      </c>
      <c r="D792" s="5">
        <v>120.5</v>
      </c>
      <c r="E792" s="3" t="s">
        <v>7</v>
      </c>
      <c r="F792" s="6">
        <v>44837.281944444447</v>
      </c>
    </row>
    <row r="793" spans="1:6" x14ac:dyDescent="0.3">
      <c r="A793" s="3">
        <v>792</v>
      </c>
      <c r="B793" s="4">
        <f t="shared" si="13"/>
        <v>0.61619047619047618</v>
      </c>
      <c r="C793" s="5">
        <v>105</v>
      </c>
      <c r="D793" s="5">
        <v>64.7</v>
      </c>
      <c r="E793" s="3" t="s">
        <v>11</v>
      </c>
      <c r="F793" s="6">
        <v>45572.066666666673</v>
      </c>
    </row>
    <row r="794" spans="1:6" x14ac:dyDescent="0.3">
      <c r="A794" s="3">
        <v>793</v>
      </c>
      <c r="B794" s="4">
        <f t="shared" si="13"/>
        <v>0.61630434782608701</v>
      </c>
      <c r="C794" s="5">
        <v>184</v>
      </c>
      <c r="D794" s="5">
        <v>113.4</v>
      </c>
      <c r="E794" s="3" t="s">
        <v>7</v>
      </c>
      <c r="F794" s="6">
        <v>44832.418749999997</v>
      </c>
    </row>
    <row r="795" spans="1:6" x14ac:dyDescent="0.3">
      <c r="A795" s="3">
        <v>794</v>
      </c>
      <c r="B795" s="4">
        <f t="shared" si="13"/>
        <v>0.61636363636363634</v>
      </c>
      <c r="C795" s="5">
        <v>55</v>
      </c>
      <c r="D795" s="5">
        <v>33.9</v>
      </c>
      <c r="E795" s="3" t="s">
        <v>11</v>
      </c>
      <c r="F795" s="6">
        <v>44658.88958333333</v>
      </c>
    </row>
    <row r="796" spans="1:6" x14ac:dyDescent="0.3">
      <c r="A796" s="3">
        <v>795</v>
      </c>
      <c r="B796" s="4">
        <f t="shared" si="13"/>
        <v>0.61647361647361643</v>
      </c>
      <c r="C796" s="5">
        <v>77.7</v>
      </c>
      <c r="D796" s="5">
        <v>47.9</v>
      </c>
      <c r="E796" s="3" t="s">
        <v>7</v>
      </c>
      <c r="F796" s="6">
        <v>46122.332638888889</v>
      </c>
    </row>
    <row r="797" spans="1:6" x14ac:dyDescent="0.3">
      <c r="A797" s="3">
        <v>796</v>
      </c>
      <c r="B797" s="4">
        <f t="shared" si="13"/>
        <v>0.61649214659685858</v>
      </c>
      <c r="C797" s="5">
        <v>76.400000000000006</v>
      </c>
      <c r="D797" s="5">
        <v>47.1</v>
      </c>
      <c r="E797" s="3" t="s">
        <v>7</v>
      </c>
      <c r="F797" s="6">
        <v>44757.29583333333</v>
      </c>
    </row>
    <row r="798" spans="1:6" x14ac:dyDescent="0.3">
      <c r="A798" s="3">
        <v>797</v>
      </c>
      <c r="B798" s="4">
        <f t="shared" si="13"/>
        <v>0.61730319563522995</v>
      </c>
      <c r="C798" s="5">
        <v>128.30000000000001</v>
      </c>
      <c r="D798" s="5">
        <v>79.2</v>
      </c>
      <c r="E798" s="3" t="s">
        <v>11</v>
      </c>
      <c r="F798" s="6">
        <v>44830.436805555553</v>
      </c>
    </row>
    <row r="799" spans="1:6" x14ac:dyDescent="0.3">
      <c r="A799" s="3">
        <v>798</v>
      </c>
      <c r="B799" s="4">
        <f t="shared" si="13"/>
        <v>0.61754068716094035</v>
      </c>
      <c r="C799" s="5">
        <v>110.6</v>
      </c>
      <c r="D799" s="5">
        <v>68.3</v>
      </c>
      <c r="E799" s="3" t="s">
        <v>7</v>
      </c>
      <c r="F799" s="6">
        <v>45788.875694444447</v>
      </c>
    </row>
    <row r="800" spans="1:6" x14ac:dyDescent="0.3">
      <c r="A800" s="3">
        <v>799</v>
      </c>
      <c r="B800" s="4">
        <f t="shared" si="13"/>
        <v>0.61754385964912284</v>
      </c>
      <c r="C800" s="5">
        <v>114</v>
      </c>
      <c r="D800" s="5">
        <v>70.400000000000006</v>
      </c>
      <c r="E800" s="3" t="s">
        <v>7</v>
      </c>
      <c r="F800" s="6">
        <v>46063.96597222222</v>
      </c>
    </row>
    <row r="801" spans="1:6" x14ac:dyDescent="0.3">
      <c r="A801" s="3">
        <v>800</v>
      </c>
      <c r="B801" s="4">
        <f t="shared" si="13"/>
        <v>0.61757719714964365</v>
      </c>
      <c r="C801" s="5">
        <v>84.2</v>
      </c>
      <c r="D801" s="5">
        <v>52</v>
      </c>
      <c r="E801" s="3" t="s">
        <v>11</v>
      </c>
      <c r="F801" s="6">
        <v>44872.229861111111</v>
      </c>
    </row>
    <row r="802" spans="1:6" x14ac:dyDescent="0.3">
      <c r="A802" s="3">
        <v>801</v>
      </c>
      <c r="B802" s="4">
        <f t="shared" si="13"/>
        <v>0.6183035714285714</v>
      </c>
      <c r="C802" s="5">
        <v>89.6</v>
      </c>
      <c r="D802" s="5">
        <v>55.4</v>
      </c>
      <c r="E802" s="3" t="s">
        <v>11</v>
      </c>
      <c r="F802" s="6">
        <v>46083.144444444442</v>
      </c>
    </row>
    <row r="803" spans="1:6" x14ac:dyDescent="0.3">
      <c r="A803" s="3">
        <v>802</v>
      </c>
      <c r="B803" s="4">
        <f t="shared" si="13"/>
        <v>0.61914672216441213</v>
      </c>
      <c r="C803" s="5">
        <v>96.1</v>
      </c>
      <c r="D803" s="5">
        <v>59.5</v>
      </c>
      <c r="E803" s="3" t="s">
        <v>11</v>
      </c>
      <c r="F803" s="6">
        <v>46006.616666666669</v>
      </c>
    </row>
    <row r="804" spans="1:6" x14ac:dyDescent="0.3">
      <c r="A804" s="3">
        <v>803</v>
      </c>
      <c r="B804" s="4">
        <f t="shared" si="13"/>
        <v>0.61946133796698521</v>
      </c>
      <c r="C804" s="5">
        <v>115.1</v>
      </c>
      <c r="D804" s="5">
        <v>71.3</v>
      </c>
      <c r="E804" s="3" t="s">
        <v>7</v>
      </c>
      <c r="F804" s="6">
        <v>45874.32708333333</v>
      </c>
    </row>
    <row r="805" spans="1:6" x14ac:dyDescent="0.3">
      <c r="A805" s="3">
        <v>804</v>
      </c>
      <c r="B805" s="4">
        <f t="shared" si="13"/>
        <v>0.61957868649318459</v>
      </c>
      <c r="C805" s="5">
        <v>80.7</v>
      </c>
      <c r="D805" s="5">
        <v>50</v>
      </c>
      <c r="E805" s="3" t="s">
        <v>11</v>
      </c>
      <c r="F805" s="6">
        <v>45301.552083333343</v>
      </c>
    </row>
    <row r="806" spans="1:6" x14ac:dyDescent="0.3">
      <c r="A806" s="3">
        <v>805</v>
      </c>
      <c r="B806" s="4">
        <f t="shared" si="13"/>
        <v>0.62059103908484259</v>
      </c>
      <c r="C806" s="5">
        <v>104.9</v>
      </c>
      <c r="D806" s="5">
        <v>65.099999999999994</v>
      </c>
      <c r="E806" s="3" t="s">
        <v>11</v>
      </c>
      <c r="F806" s="6">
        <v>45418.535416666673</v>
      </c>
    </row>
    <row r="807" spans="1:6" x14ac:dyDescent="0.3">
      <c r="A807" s="3">
        <v>806</v>
      </c>
      <c r="B807" s="4">
        <f t="shared" si="13"/>
        <v>0.62127659574468086</v>
      </c>
      <c r="C807" s="5">
        <v>94</v>
      </c>
      <c r="D807" s="5">
        <v>58.4</v>
      </c>
      <c r="E807" s="3" t="s">
        <v>7</v>
      </c>
      <c r="F807" s="6">
        <v>45518.25</v>
      </c>
    </row>
    <row r="808" spans="1:6" x14ac:dyDescent="0.3">
      <c r="A808" s="3">
        <v>807</v>
      </c>
      <c r="B808" s="4">
        <f t="shared" si="13"/>
        <v>0.62181818181818183</v>
      </c>
      <c r="C808" s="5">
        <v>82.5</v>
      </c>
      <c r="D808" s="5">
        <v>51.3</v>
      </c>
      <c r="E808" s="3" t="s">
        <v>11</v>
      </c>
      <c r="F808" s="6">
        <v>46052.330555555563</v>
      </c>
    </row>
    <row r="809" spans="1:6" x14ac:dyDescent="0.3">
      <c r="A809" s="3">
        <v>808</v>
      </c>
      <c r="B809" s="4">
        <f t="shared" si="13"/>
        <v>0.62234042553191482</v>
      </c>
      <c r="C809" s="5">
        <v>75.2</v>
      </c>
      <c r="D809" s="5">
        <v>46.8</v>
      </c>
      <c r="E809" s="3" t="s">
        <v>11</v>
      </c>
      <c r="F809" s="6">
        <v>44596.69027777778</v>
      </c>
    </row>
    <row r="810" spans="1:6" x14ac:dyDescent="0.3">
      <c r="A810" s="3">
        <v>809</v>
      </c>
      <c r="B810" s="4">
        <f t="shared" si="13"/>
        <v>0.62241379310344835</v>
      </c>
      <c r="C810" s="5">
        <v>116</v>
      </c>
      <c r="D810" s="5">
        <v>72.2</v>
      </c>
      <c r="E810" s="3" t="s">
        <v>7</v>
      </c>
      <c r="F810" s="6">
        <v>44546.84375</v>
      </c>
    </row>
    <row r="811" spans="1:6" x14ac:dyDescent="0.3">
      <c r="A811" s="3">
        <v>810</v>
      </c>
      <c r="B811" s="4">
        <f t="shared" si="13"/>
        <v>0.62290502793296099</v>
      </c>
      <c r="C811" s="5">
        <v>143.19999999999999</v>
      </c>
      <c r="D811" s="5">
        <v>89.2</v>
      </c>
      <c r="E811" s="3" t="s">
        <v>11</v>
      </c>
      <c r="F811" s="6">
        <v>45926.646527777782</v>
      </c>
    </row>
    <row r="812" spans="1:6" x14ac:dyDescent="0.3">
      <c r="A812" s="3">
        <v>811</v>
      </c>
      <c r="B812" s="4">
        <f t="shared" si="13"/>
        <v>0.62332928311057112</v>
      </c>
      <c r="C812" s="5">
        <v>82.3</v>
      </c>
      <c r="D812" s="5">
        <v>51.3</v>
      </c>
      <c r="E812" s="3" t="s">
        <v>11</v>
      </c>
      <c r="F812" s="6">
        <v>44762.60833333333</v>
      </c>
    </row>
    <row r="813" spans="1:6" x14ac:dyDescent="0.3">
      <c r="A813" s="3">
        <v>812</v>
      </c>
      <c r="B813" s="4">
        <f t="shared" si="13"/>
        <v>0.62400793650793651</v>
      </c>
      <c r="C813" s="5">
        <v>100.8</v>
      </c>
      <c r="D813" s="5">
        <v>62.9</v>
      </c>
      <c r="E813" s="3" t="s">
        <v>11</v>
      </c>
      <c r="F813" s="6">
        <v>45657.404861111107</v>
      </c>
    </row>
    <row r="814" spans="1:6" x14ac:dyDescent="0.3">
      <c r="A814" s="3">
        <v>813</v>
      </c>
      <c r="B814" s="4">
        <f t="shared" si="13"/>
        <v>0.62402669632925467</v>
      </c>
      <c r="C814" s="5">
        <v>89.9</v>
      </c>
      <c r="D814" s="5">
        <v>56.1</v>
      </c>
      <c r="E814" s="3" t="s">
        <v>7</v>
      </c>
      <c r="F814" s="6">
        <v>45506.526388888888</v>
      </c>
    </row>
    <row r="815" spans="1:6" x14ac:dyDescent="0.3">
      <c r="A815" s="3">
        <v>814</v>
      </c>
      <c r="B815" s="4">
        <f t="shared" si="13"/>
        <v>0.62458100558659213</v>
      </c>
      <c r="C815" s="5">
        <v>89.5</v>
      </c>
      <c r="D815" s="5">
        <v>55.9</v>
      </c>
      <c r="E815" s="3" t="s">
        <v>11</v>
      </c>
      <c r="F815" s="6">
        <v>44844.07708333333</v>
      </c>
    </row>
    <row r="816" spans="1:6" x14ac:dyDescent="0.3">
      <c r="A816" s="3">
        <v>815</v>
      </c>
      <c r="B816" s="4">
        <f t="shared" si="13"/>
        <v>0.62459016393442623</v>
      </c>
      <c r="C816" s="5">
        <v>61</v>
      </c>
      <c r="D816" s="5">
        <v>38.1</v>
      </c>
      <c r="E816" s="3" t="s">
        <v>7</v>
      </c>
      <c r="F816" s="6">
        <v>44943.443055555559</v>
      </c>
    </row>
    <row r="817" spans="1:6" x14ac:dyDescent="0.3">
      <c r="A817" s="3">
        <v>816</v>
      </c>
      <c r="B817" s="4">
        <f t="shared" si="13"/>
        <v>0.62472647702407003</v>
      </c>
      <c r="C817" s="5">
        <v>91.4</v>
      </c>
      <c r="D817" s="5">
        <v>57.1</v>
      </c>
      <c r="E817" s="3" t="s">
        <v>7</v>
      </c>
      <c r="F817" s="6">
        <v>44882.100694444453</v>
      </c>
    </row>
    <row r="818" spans="1:6" x14ac:dyDescent="0.3">
      <c r="A818" s="3">
        <v>817</v>
      </c>
      <c r="B818" s="4">
        <f t="shared" si="13"/>
        <v>0.62487757100881491</v>
      </c>
      <c r="C818" s="5">
        <v>102.1</v>
      </c>
      <c r="D818" s="5">
        <v>63.8</v>
      </c>
      <c r="E818" s="3" t="s">
        <v>11</v>
      </c>
      <c r="F818" s="6">
        <v>45960.604166666657</v>
      </c>
    </row>
    <row r="819" spans="1:6" x14ac:dyDescent="0.3">
      <c r="A819" s="3">
        <v>818</v>
      </c>
      <c r="B819" s="4">
        <f t="shared" si="13"/>
        <v>0.62512266928361138</v>
      </c>
      <c r="C819" s="5">
        <v>101.9</v>
      </c>
      <c r="D819" s="5">
        <v>63.7</v>
      </c>
      <c r="E819" s="3" t="s">
        <v>11</v>
      </c>
      <c r="F819" s="6">
        <v>45268.576388888891</v>
      </c>
    </row>
    <row r="820" spans="1:6" x14ac:dyDescent="0.3">
      <c r="A820" s="3">
        <v>819</v>
      </c>
      <c r="B820" s="4">
        <f t="shared" si="13"/>
        <v>0.62612244897959191</v>
      </c>
      <c r="C820" s="5">
        <v>122.5</v>
      </c>
      <c r="D820" s="5">
        <v>76.7</v>
      </c>
      <c r="E820" s="3" t="s">
        <v>7</v>
      </c>
      <c r="F820" s="6">
        <v>44651.551388888889</v>
      </c>
    </row>
    <row r="821" spans="1:6" x14ac:dyDescent="0.3">
      <c r="A821" s="3">
        <v>820</v>
      </c>
      <c r="B821" s="4">
        <f t="shared" si="13"/>
        <v>0.6262626262626263</v>
      </c>
      <c r="C821" s="5">
        <v>59.4</v>
      </c>
      <c r="D821" s="5">
        <v>37.200000000000003</v>
      </c>
      <c r="E821" s="3" t="s">
        <v>7</v>
      </c>
      <c r="F821" s="6">
        <v>44776.288888888892</v>
      </c>
    </row>
    <row r="822" spans="1:6" x14ac:dyDescent="0.3">
      <c r="A822" s="3">
        <v>821</v>
      </c>
      <c r="B822" s="4">
        <f t="shared" si="13"/>
        <v>0.62637362637362637</v>
      </c>
      <c r="C822" s="5">
        <v>54.6</v>
      </c>
      <c r="D822" s="5">
        <v>34.200000000000003</v>
      </c>
      <c r="E822" s="3" t="s">
        <v>7</v>
      </c>
      <c r="F822" s="6">
        <v>44693.493750000001</v>
      </c>
    </row>
    <row r="823" spans="1:6" x14ac:dyDescent="0.3">
      <c r="A823" s="3">
        <v>822</v>
      </c>
      <c r="B823" s="4">
        <f t="shared" si="13"/>
        <v>0.62641509433962261</v>
      </c>
      <c r="C823" s="5">
        <v>79.5</v>
      </c>
      <c r="D823" s="5">
        <v>49.8</v>
      </c>
      <c r="E823" s="3" t="s">
        <v>7</v>
      </c>
      <c r="F823" s="6">
        <v>44875.413888888892</v>
      </c>
    </row>
    <row r="824" spans="1:6" x14ac:dyDescent="0.3">
      <c r="A824" s="3">
        <v>823</v>
      </c>
      <c r="B824" s="4">
        <f t="shared" si="13"/>
        <v>0.62702702702702706</v>
      </c>
      <c r="C824" s="5">
        <v>92.5</v>
      </c>
      <c r="D824" s="5">
        <v>58</v>
      </c>
      <c r="E824" s="3" t="s">
        <v>7</v>
      </c>
      <c r="F824" s="6">
        <v>44907.8</v>
      </c>
    </row>
    <row r="825" spans="1:6" x14ac:dyDescent="0.3">
      <c r="A825" s="3">
        <v>824</v>
      </c>
      <c r="B825" s="4">
        <f t="shared" si="13"/>
        <v>0.62715368711233632</v>
      </c>
      <c r="C825" s="5">
        <v>145.1</v>
      </c>
      <c r="D825" s="5">
        <v>91</v>
      </c>
      <c r="E825" s="3" t="s">
        <v>11</v>
      </c>
      <c r="F825" s="6">
        <v>44778.720138888893</v>
      </c>
    </row>
    <row r="826" spans="1:6" x14ac:dyDescent="0.3">
      <c r="A826" s="3">
        <v>825</v>
      </c>
      <c r="B826" s="4">
        <f t="shared" si="13"/>
        <v>0.6271929824561403</v>
      </c>
      <c r="C826" s="5">
        <v>68.400000000000006</v>
      </c>
      <c r="D826" s="5">
        <v>42.9</v>
      </c>
      <c r="E826" s="3" t="s">
        <v>11</v>
      </c>
      <c r="F826" s="6">
        <v>46224.297222222223</v>
      </c>
    </row>
    <row r="827" spans="1:6" x14ac:dyDescent="0.3">
      <c r="A827" s="3">
        <v>826</v>
      </c>
      <c r="B827" s="4">
        <f t="shared" si="13"/>
        <v>0.62797927461139902</v>
      </c>
      <c r="C827" s="5">
        <v>96.5</v>
      </c>
      <c r="D827" s="5">
        <v>60.6</v>
      </c>
      <c r="E827" s="3" t="s">
        <v>11</v>
      </c>
      <c r="F827" s="6">
        <v>46108.648611111108</v>
      </c>
    </row>
    <row r="828" spans="1:6" x14ac:dyDescent="0.3">
      <c r="A828" s="3">
        <v>827</v>
      </c>
      <c r="B828" s="4">
        <f t="shared" si="13"/>
        <v>0.62918080465341741</v>
      </c>
      <c r="C828" s="5">
        <v>206.3</v>
      </c>
      <c r="D828" s="5">
        <v>129.80000000000001</v>
      </c>
      <c r="E828" s="3" t="s">
        <v>11</v>
      </c>
      <c r="F828" s="6">
        <v>44839.809027777781</v>
      </c>
    </row>
    <row r="829" spans="1:6" x14ac:dyDescent="0.3">
      <c r="A829" s="3">
        <v>828</v>
      </c>
      <c r="B829" s="4">
        <f t="shared" si="13"/>
        <v>0.63005780346820806</v>
      </c>
      <c r="C829" s="5">
        <v>69.2</v>
      </c>
      <c r="D829" s="5">
        <v>43.6</v>
      </c>
      <c r="E829" s="3" t="s">
        <v>11</v>
      </c>
      <c r="F829" s="6">
        <v>45016.59097222222</v>
      </c>
    </row>
    <row r="830" spans="1:6" x14ac:dyDescent="0.3">
      <c r="A830" s="3">
        <v>829</v>
      </c>
      <c r="B830" s="4">
        <f t="shared" si="13"/>
        <v>0.63021316033364227</v>
      </c>
      <c r="C830" s="5">
        <v>107.9</v>
      </c>
      <c r="D830" s="5">
        <v>68</v>
      </c>
      <c r="E830" s="3" t="s">
        <v>11</v>
      </c>
      <c r="F830" s="6">
        <v>44777.054861111108</v>
      </c>
    </row>
    <row r="831" spans="1:6" x14ac:dyDescent="0.3">
      <c r="A831" s="3">
        <v>830</v>
      </c>
      <c r="B831" s="4">
        <f t="shared" si="13"/>
        <v>0.63033707865168542</v>
      </c>
      <c r="C831" s="5">
        <v>89</v>
      </c>
      <c r="D831" s="5">
        <v>56.1</v>
      </c>
      <c r="E831" s="3" t="s">
        <v>7</v>
      </c>
      <c r="F831" s="6">
        <v>46079.388888888891</v>
      </c>
    </row>
    <row r="832" spans="1:6" x14ac:dyDescent="0.3">
      <c r="A832" s="3">
        <v>831</v>
      </c>
      <c r="B832" s="4">
        <f t="shared" si="13"/>
        <v>0.63046757164404221</v>
      </c>
      <c r="C832" s="5">
        <v>66.3</v>
      </c>
      <c r="D832" s="5">
        <v>41.8</v>
      </c>
      <c r="E832" s="3" t="s">
        <v>7</v>
      </c>
      <c r="F832" s="6">
        <v>46147.873611111107</v>
      </c>
    </row>
    <row r="833" spans="1:6" x14ac:dyDescent="0.3">
      <c r="A833" s="3">
        <v>832</v>
      </c>
      <c r="B833" s="4">
        <f t="shared" si="13"/>
        <v>0.63067292644757433</v>
      </c>
      <c r="C833" s="5">
        <v>63.9</v>
      </c>
      <c r="D833" s="5">
        <v>40.299999999999997</v>
      </c>
      <c r="E833" s="3" t="s">
        <v>7</v>
      </c>
      <c r="F833" s="6">
        <v>45209.495138888888</v>
      </c>
    </row>
    <row r="834" spans="1:6" x14ac:dyDescent="0.3">
      <c r="A834" s="3">
        <v>833</v>
      </c>
      <c r="B834" s="4">
        <f t="shared" ref="B834:B897" si="14">D834/C834</f>
        <v>0.6307588075880759</v>
      </c>
      <c r="C834" s="5">
        <v>147.6</v>
      </c>
      <c r="D834" s="5">
        <v>93.1</v>
      </c>
      <c r="E834" s="3" t="s">
        <v>7</v>
      </c>
      <c r="F834" s="6">
        <v>44764.78402777778</v>
      </c>
    </row>
    <row r="835" spans="1:6" x14ac:dyDescent="0.3">
      <c r="A835" s="3">
        <v>834</v>
      </c>
      <c r="B835" s="4">
        <f t="shared" si="14"/>
        <v>0.63078703703703698</v>
      </c>
      <c r="C835" s="5">
        <v>86.4</v>
      </c>
      <c r="D835" s="5">
        <v>54.5</v>
      </c>
      <c r="E835" s="3" t="s">
        <v>11</v>
      </c>
      <c r="F835" s="6">
        <v>44874.348611111112</v>
      </c>
    </row>
    <row r="836" spans="1:6" x14ac:dyDescent="0.3">
      <c r="A836" s="3">
        <v>835</v>
      </c>
      <c r="B836" s="4">
        <f t="shared" si="14"/>
        <v>0.63093415007656972</v>
      </c>
      <c r="C836" s="5">
        <v>65.3</v>
      </c>
      <c r="D836" s="5">
        <v>41.2</v>
      </c>
      <c r="E836" s="3" t="s">
        <v>11</v>
      </c>
      <c r="F836" s="6">
        <v>45212.526388888888</v>
      </c>
    </row>
    <row r="837" spans="1:6" x14ac:dyDescent="0.3">
      <c r="A837" s="3">
        <v>836</v>
      </c>
      <c r="B837" s="4">
        <f t="shared" si="14"/>
        <v>0.63192376414532458</v>
      </c>
      <c r="C837" s="5">
        <v>167.9</v>
      </c>
      <c r="D837" s="5">
        <v>106.1</v>
      </c>
      <c r="E837" s="3" t="s">
        <v>11</v>
      </c>
      <c r="F837" s="6">
        <v>45645.411805555559</v>
      </c>
    </row>
    <row r="838" spans="1:6" x14ac:dyDescent="0.3">
      <c r="A838" s="3">
        <v>837</v>
      </c>
      <c r="B838" s="4">
        <f t="shared" si="14"/>
        <v>0.63232682060390766</v>
      </c>
      <c r="C838" s="5">
        <v>112.6</v>
      </c>
      <c r="D838" s="5">
        <v>71.2</v>
      </c>
      <c r="E838" s="3" t="s">
        <v>7</v>
      </c>
      <c r="F838" s="6">
        <v>45804.331944444442</v>
      </c>
    </row>
    <row r="839" spans="1:6" x14ac:dyDescent="0.3">
      <c r="A839" s="3">
        <v>838</v>
      </c>
      <c r="B839" s="4">
        <f t="shared" si="14"/>
        <v>0.63237774030354132</v>
      </c>
      <c r="C839" s="5">
        <v>59.3</v>
      </c>
      <c r="D839" s="5">
        <v>37.5</v>
      </c>
      <c r="E839" s="3" t="s">
        <v>11</v>
      </c>
      <c r="F839" s="6">
        <v>45979.646527777782</v>
      </c>
    </row>
    <row r="840" spans="1:6" x14ac:dyDescent="0.3">
      <c r="A840" s="3">
        <v>839</v>
      </c>
      <c r="B840" s="4">
        <f t="shared" si="14"/>
        <v>0.63253012048192769</v>
      </c>
      <c r="C840" s="5">
        <v>66.400000000000006</v>
      </c>
      <c r="D840" s="5">
        <v>42</v>
      </c>
      <c r="E840" s="3" t="s">
        <v>7</v>
      </c>
      <c r="F840" s="6">
        <v>45056.465277777781</v>
      </c>
    </row>
    <row r="841" spans="1:6" x14ac:dyDescent="0.3">
      <c r="A841" s="3">
        <v>840</v>
      </c>
      <c r="B841" s="4">
        <f t="shared" si="14"/>
        <v>0.63269639065817407</v>
      </c>
      <c r="C841" s="5">
        <v>94.2</v>
      </c>
      <c r="D841" s="5">
        <v>59.6</v>
      </c>
      <c r="E841" s="3" t="s">
        <v>11</v>
      </c>
      <c r="F841" s="6">
        <v>44827.376388888893</v>
      </c>
    </row>
    <row r="842" spans="1:6" x14ac:dyDescent="0.3">
      <c r="A842" s="3">
        <v>841</v>
      </c>
      <c r="B842" s="4">
        <f t="shared" si="14"/>
        <v>0.63283318623124452</v>
      </c>
      <c r="C842" s="5">
        <v>113.3</v>
      </c>
      <c r="D842" s="5">
        <v>71.7</v>
      </c>
      <c r="E842" s="3" t="s">
        <v>7</v>
      </c>
      <c r="F842" s="6">
        <v>44571.625694444447</v>
      </c>
    </row>
    <row r="843" spans="1:6" x14ac:dyDescent="0.3">
      <c r="A843" s="3">
        <v>842</v>
      </c>
      <c r="B843" s="4">
        <f t="shared" si="14"/>
        <v>0.6328800988875154</v>
      </c>
      <c r="C843" s="5">
        <v>80.900000000000006</v>
      </c>
      <c r="D843" s="5">
        <v>51.2</v>
      </c>
      <c r="E843" s="3" t="s">
        <v>7</v>
      </c>
      <c r="F843" s="6">
        <v>45112.479166666657</v>
      </c>
    </row>
    <row r="844" spans="1:6" x14ac:dyDescent="0.3">
      <c r="A844" s="3">
        <v>843</v>
      </c>
      <c r="B844" s="4">
        <f t="shared" si="14"/>
        <v>0.633672525439408</v>
      </c>
      <c r="C844" s="5">
        <v>108.1</v>
      </c>
      <c r="D844" s="5">
        <v>68.5</v>
      </c>
      <c r="E844" s="3" t="s">
        <v>11</v>
      </c>
      <c r="F844" s="6">
        <v>45243.49722222222</v>
      </c>
    </row>
    <row r="845" spans="1:6" x14ac:dyDescent="0.3">
      <c r="A845" s="3">
        <v>844</v>
      </c>
      <c r="B845" s="4">
        <f t="shared" si="14"/>
        <v>0.63432073544433087</v>
      </c>
      <c r="C845" s="5">
        <v>97.9</v>
      </c>
      <c r="D845" s="5">
        <v>62.1</v>
      </c>
      <c r="E845" s="3" t="s">
        <v>7</v>
      </c>
      <c r="F845" s="6">
        <v>44935.456250000003</v>
      </c>
    </row>
    <row r="846" spans="1:6" x14ac:dyDescent="0.3">
      <c r="A846" s="3">
        <v>845</v>
      </c>
      <c r="B846" s="4">
        <f t="shared" si="14"/>
        <v>0.63459335624284074</v>
      </c>
      <c r="C846" s="5">
        <v>87.3</v>
      </c>
      <c r="D846" s="5">
        <v>55.4</v>
      </c>
      <c r="E846" s="3" t="s">
        <v>11</v>
      </c>
      <c r="F846" s="6">
        <v>44687.015277777777</v>
      </c>
    </row>
    <row r="847" spans="1:6" x14ac:dyDescent="0.3">
      <c r="A847" s="3">
        <v>846</v>
      </c>
      <c r="B847" s="4">
        <f t="shared" si="14"/>
        <v>0.63505402160864344</v>
      </c>
      <c r="C847" s="5">
        <v>83.3</v>
      </c>
      <c r="D847" s="5">
        <v>52.9</v>
      </c>
      <c r="E847" s="3" t="s">
        <v>11</v>
      </c>
      <c r="F847" s="6">
        <v>45961.874305555553</v>
      </c>
    </row>
    <row r="848" spans="1:6" x14ac:dyDescent="0.3">
      <c r="A848" s="3">
        <v>847</v>
      </c>
      <c r="B848" s="4">
        <f t="shared" si="14"/>
        <v>0.63548387096774195</v>
      </c>
      <c r="C848" s="5">
        <v>93</v>
      </c>
      <c r="D848" s="5">
        <v>59.1</v>
      </c>
      <c r="E848" s="3" t="s">
        <v>7</v>
      </c>
      <c r="F848" s="6">
        <v>44875.742361111108</v>
      </c>
    </row>
    <row r="849" spans="1:6" x14ac:dyDescent="0.3">
      <c r="A849" s="3">
        <v>848</v>
      </c>
      <c r="B849" s="4">
        <f t="shared" si="14"/>
        <v>0.63703703703703696</v>
      </c>
      <c r="C849" s="5">
        <v>108</v>
      </c>
      <c r="D849" s="5">
        <v>68.8</v>
      </c>
      <c r="E849" s="3" t="s">
        <v>11</v>
      </c>
      <c r="F849" s="6">
        <v>44830.043749999997</v>
      </c>
    </row>
    <row r="850" spans="1:6" x14ac:dyDescent="0.3">
      <c r="A850" s="3">
        <v>849</v>
      </c>
      <c r="B850" s="4">
        <f t="shared" si="14"/>
        <v>0.63727678571428581</v>
      </c>
      <c r="C850" s="5">
        <v>89.6</v>
      </c>
      <c r="D850" s="5">
        <v>57.1</v>
      </c>
      <c r="E850" s="3" t="s">
        <v>7</v>
      </c>
      <c r="F850" s="6">
        <v>46119.095138888893</v>
      </c>
    </row>
    <row r="851" spans="1:6" x14ac:dyDescent="0.3">
      <c r="A851" s="3">
        <v>850</v>
      </c>
      <c r="B851" s="4">
        <f t="shared" si="14"/>
        <v>0.63738508682328898</v>
      </c>
      <c r="C851" s="5">
        <v>97.9</v>
      </c>
      <c r="D851" s="5">
        <v>62.4</v>
      </c>
      <c r="E851" s="3" t="s">
        <v>11</v>
      </c>
      <c r="F851" s="6">
        <v>45937.656944444447</v>
      </c>
    </row>
    <row r="852" spans="1:6" x14ac:dyDescent="0.3">
      <c r="A852" s="3">
        <v>851</v>
      </c>
      <c r="B852" s="4">
        <f t="shared" si="14"/>
        <v>0.63768115942028991</v>
      </c>
      <c r="C852" s="5">
        <v>55.2</v>
      </c>
      <c r="D852" s="5">
        <v>35.200000000000003</v>
      </c>
      <c r="E852" s="3" t="s">
        <v>7</v>
      </c>
      <c r="F852" s="6">
        <v>45215.418749999997</v>
      </c>
    </row>
    <row r="853" spans="1:6" x14ac:dyDescent="0.3">
      <c r="A853" s="3">
        <v>852</v>
      </c>
      <c r="B853" s="4">
        <f t="shared" si="14"/>
        <v>0.63774912075029311</v>
      </c>
      <c r="C853" s="5">
        <v>85.3</v>
      </c>
      <c r="D853" s="5">
        <v>54.4</v>
      </c>
      <c r="E853" s="3" t="s">
        <v>11</v>
      </c>
      <c r="F853" s="6">
        <v>44896.969444444447</v>
      </c>
    </row>
    <row r="854" spans="1:6" x14ac:dyDescent="0.3">
      <c r="A854" s="3">
        <v>853</v>
      </c>
      <c r="B854" s="4">
        <f t="shared" si="14"/>
        <v>0.63832335329341316</v>
      </c>
      <c r="C854" s="5">
        <v>83.5</v>
      </c>
      <c r="D854" s="5">
        <v>53.3</v>
      </c>
      <c r="E854" s="3" t="s">
        <v>7</v>
      </c>
      <c r="F854" s="6">
        <v>45600.390972222223</v>
      </c>
    </row>
    <row r="855" spans="1:6" x14ac:dyDescent="0.3">
      <c r="A855" s="3">
        <v>854</v>
      </c>
      <c r="B855" s="4">
        <f t="shared" si="14"/>
        <v>0.63867924528301889</v>
      </c>
      <c r="C855" s="5">
        <v>106</v>
      </c>
      <c r="D855" s="5">
        <v>67.7</v>
      </c>
      <c r="E855" s="3" t="s">
        <v>11</v>
      </c>
      <c r="F855" s="6">
        <v>44519.709027777782</v>
      </c>
    </row>
    <row r="856" spans="1:6" x14ac:dyDescent="0.3">
      <c r="A856" s="3">
        <v>855</v>
      </c>
      <c r="B856" s="4">
        <f t="shared" si="14"/>
        <v>0.63905325443786987</v>
      </c>
      <c r="C856" s="5">
        <v>135.19999999999999</v>
      </c>
      <c r="D856" s="5">
        <v>86.4</v>
      </c>
      <c r="E856" s="3" t="s">
        <v>7</v>
      </c>
      <c r="F856" s="6">
        <v>44846.229166666657</v>
      </c>
    </row>
    <row r="857" spans="1:6" x14ac:dyDescent="0.3">
      <c r="A857" s="3">
        <v>856</v>
      </c>
      <c r="B857" s="4">
        <f t="shared" si="14"/>
        <v>0.6395089285714286</v>
      </c>
      <c r="C857" s="5">
        <v>89.6</v>
      </c>
      <c r="D857" s="5">
        <v>57.3</v>
      </c>
      <c r="E857" s="3" t="s">
        <v>7</v>
      </c>
      <c r="F857" s="6">
        <v>46024.476388888892</v>
      </c>
    </row>
    <row r="858" spans="1:6" x14ac:dyDescent="0.3">
      <c r="A858" s="3">
        <v>857</v>
      </c>
      <c r="B858" s="4">
        <f t="shared" si="14"/>
        <v>0.63955342902711321</v>
      </c>
      <c r="C858" s="5">
        <v>62.7</v>
      </c>
      <c r="D858" s="5">
        <v>40.1</v>
      </c>
      <c r="E858" s="3" t="s">
        <v>11</v>
      </c>
      <c r="F858" s="6">
        <v>44480.59097222222</v>
      </c>
    </row>
    <row r="859" spans="1:6" x14ac:dyDescent="0.3">
      <c r="A859" s="3">
        <v>858</v>
      </c>
      <c r="B859" s="4">
        <f t="shared" si="14"/>
        <v>0.63959390862944165</v>
      </c>
      <c r="C859" s="5">
        <v>78.8</v>
      </c>
      <c r="D859" s="5">
        <v>50.4</v>
      </c>
      <c r="E859" s="3" t="s">
        <v>7</v>
      </c>
      <c r="F859" s="6">
        <v>45342.245138888888</v>
      </c>
    </row>
    <row r="860" spans="1:6" x14ac:dyDescent="0.3">
      <c r="A860" s="3">
        <v>859</v>
      </c>
      <c r="B860" s="4">
        <f t="shared" si="14"/>
        <v>0.63985594237695076</v>
      </c>
      <c r="C860" s="5">
        <v>83.3</v>
      </c>
      <c r="D860" s="5">
        <v>53.3</v>
      </c>
      <c r="E860" s="3" t="s">
        <v>11</v>
      </c>
      <c r="F860" s="6">
        <v>44837.077777777777</v>
      </c>
    </row>
    <row r="861" spans="1:6" x14ac:dyDescent="0.3">
      <c r="A861" s="3">
        <v>860</v>
      </c>
      <c r="B861" s="4">
        <f t="shared" si="14"/>
        <v>0.64005412719891741</v>
      </c>
      <c r="C861" s="5">
        <v>73.900000000000006</v>
      </c>
      <c r="D861" s="5">
        <v>47.3</v>
      </c>
      <c r="E861" s="3" t="s">
        <v>11</v>
      </c>
      <c r="F861" s="6">
        <v>45890.405555555553</v>
      </c>
    </row>
    <row r="862" spans="1:6" x14ac:dyDescent="0.3">
      <c r="A862" s="3">
        <v>861</v>
      </c>
      <c r="B862" s="4">
        <f t="shared" si="14"/>
        <v>0.64022662889518422</v>
      </c>
      <c r="C862" s="5">
        <v>70.599999999999994</v>
      </c>
      <c r="D862" s="5">
        <v>45.2</v>
      </c>
      <c r="E862" s="3" t="s">
        <v>11</v>
      </c>
      <c r="F862" s="6">
        <v>44936.398611111108</v>
      </c>
    </row>
    <row r="863" spans="1:6" x14ac:dyDescent="0.3">
      <c r="A863" s="3">
        <v>862</v>
      </c>
      <c r="B863" s="4">
        <f t="shared" si="14"/>
        <v>0.64085447263017348</v>
      </c>
      <c r="C863" s="5">
        <v>74.900000000000006</v>
      </c>
      <c r="D863" s="5">
        <v>48</v>
      </c>
      <c r="E863" s="3" t="s">
        <v>11</v>
      </c>
      <c r="F863" s="6">
        <v>44683.34097222222</v>
      </c>
    </row>
    <row r="864" spans="1:6" x14ac:dyDescent="0.3">
      <c r="A864" s="3">
        <v>863</v>
      </c>
      <c r="B864" s="4">
        <f t="shared" si="14"/>
        <v>0.64090909090909087</v>
      </c>
      <c r="C864" s="5">
        <v>66</v>
      </c>
      <c r="D864" s="5">
        <v>42.3</v>
      </c>
      <c r="E864" s="3" t="s">
        <v>11</v>
      </c>
      <c r="F864" s="6">
        <v>45852.438888888893</v>
      </c>
    </row>
    <row r="865" spans="1:6" x14ac:dyDescent="0.3">
      <c r="A865" s="3">
        <v>864</v>
      </c>
      <c r="B865" s="4">
        <f t="shared" si="14"/>
        <v>0.64095238095238094</v>
      </c>
      <c r="C865" s="5">
        <v>105</v>
      </c>
      <c r="D865" s="5">
        <v>67.3</v>
      </c>
      <c r="E865" s="3" t="s">
        <v>11</v>
      </c>
      <c r="F865" s="6">
        <v>45146.80972222222</v>
      </c>
    </row>
    <row r="866" spans="1:6" x14ac:dyDescent="0.3">
      <c r="A866" s="3">
        <v>865</v>
      </c>
      <c r="B866" s="4">
        <f t="shared" si="14"/>
        <v>0.64148527528809229</v>
      </c>
      <c r="C866" s="5">
        <v>78.099999999999994</v>
      </c>
      <c r="D866" s="5">
        <v>50.1</v>
      </c>
      <c r="E866" s="3" t="s">
        <v>7</v>
      </c>
      <c r="F866" s="6">
        <v>45603.5</v>
      </c>
    </row>
    <row r="867" spans="1:6" x14ac:dyDescent="0.3">
      <c r="A867" s="3">
        <v>866</v>
      </c>
      <c r="B867" s="4">
        <f t="shared" si="14"/>
        <v>0.6422558922558923</v>
      </c>
      <c r="C867" s="5">
        <v>118.8</v>
      </c>
      <c r="D867" s="5">
        <v>76.3</v>
      </c>
      <c r="E867" s="3" t="s">
        <v>7</v>
      </c>
      <c r="F867" s="6">
        <v>45007.585416666669</v>
      </c>
    </row>
    <row r="868" spans="1:6" x14ac:dyDescent="0.3">
      <c r="A868" s="3">
        <v>867</v>
      </c>
      <c r="B868" s="4">
        <f t="shared" si="14"/>
        <v>0.64230343300110748</v>
      </c>
      <c r="C868" s="5">
        <v>90.3</v>
      </c>
      <c r="D868" s="5">
        <v>58</v>
      </c>
      <c r="E868" s="3" t="s">
        <v>11</v>
      </c>
      <c r="F868" s="6">
        <v>45470.584027777782</v>
      </c>
    </row>
    <row r="869" spans="1:6" x14ac:dyDescent="0.3">
      <c r="A869" s="3">
        <v>868</v>
      </c>
      <c r="B869" s="4">
        <f t="shared" si="14"/>
        <v>0.64238410596026485</v>
      </c>
      <c r="C869" s="5">
        <v>60.4</v>
      </c>
      <c r="D869" s="5">
        <v>38.799999999999997</v>
      </c>
      <c r="E869" s="3" t="s">
        <v>11</v>
      </c>
      <c r="F869" s="6">
        <v>45156.088194444441</v>
      </c>
    </row>
    <row r="870" spans="1:6" x14ac:dyDescent="0.3">
      <c r="A870" s="3">
        <v>869</v>
      </c>
      <c r="B870" s="4">
        <f t="shared" si="14"/>
        <v>0.64255677039529013</v>
      </c>
      <c r="C870" s="5">
        <v>118.9</v>
      </c>
      <c r="D870" s="5">
        <v>76.400000000000006</v>
      </c>
      <c r="E870" s="3" t="s">
        <v>11</v>
      </c>
      <c r="F870" s="6">
        <v>45065.525694444441</v>
      </c>
    </row>
    <row r="871" spans="1:6" x14ac:dyDescent="0.3">
      <c r="A871" s="3">
        <v>870</v>
      </c>
      <c r="B871" s="4">
        <f t="shared" si="14"/>
        <v>0.64266900790166814</v>
      </c>
      <c r="C871" s="5">
        <v>113.9</v>
      </c>
      <c r="D871" s="5">
        <v>73.2</v>
      </c>
      <c r="E871" s="3" t="s">
        <v>7</v>
      </c>
      <c r="F871" s="6">
        <v>45007.79791666667</v>
      </c>
    </row>
    <row r="872" spans="1:6" x14ac:dyDescent="0.3">
      <c r="A872" s="3">
        <v>871</v>
      </c>
      <c r="B872" s="4">
        <f t="shared" si="14"/>
        <v>0.64294954721862874</v>
      </c>
      <c r="C872" s="5">
        <v>77.3</v>
      </c>
      <c r="D872" s="5">
        <v>49.7</v>
      </c>
      <c r="E872" s="3" t="s">
        <v>11</v>
      </c>
      <c r="F872" s="6">
        <v>44981.361805555563</v>
      </c>
    </row>
    <row r="873" spans="1:6" x14ac:dyDescent="0.3">
      <c r="A873" s="3">
        <v>872</v>
      </c>
      <c r="B873" s="4">
        <f t="shared" si="14"/>
        <v>0.64364035087719296</v>
      </c>
      <c r="C873" s="5">
        <v>91.2</v>
      </c>
      <c r="D873" s="5">
        <v>58.7</v>
      </c>
      <c r="E873" s="3" t="s">
        <v>7</v>
      </c>
      <c r="F873" s="6">
        <v>45912.52847222222</v>
      </c>
    </row>
    <row r="874" spans="1:6" x14ac:dyDescent="0.3">
      <c r="A874" s="3">
        <v>873</v>
      </c>
      <c r="B874" s="4">
        <f t="shared" si="14"/>
        <v>0.64393939393939392</v>
      </c>
      <c r="C874" s="5">
        <v>79.2</v>
      </c>
      <c r="D874" s="5">
        <v>51</v>
      </c>
      <c r="E874" s="3" t="s">
        <v>11</v>
      </c>
      <c r="F874" s="6">
        <v>44847.731944444437</v>
      </c>
    </row>
    <row r="875" spans="1:6" x14ac:dyDescent="0.3">
      <c r="A875" s="3">
        <v>874</v>
      </c>
      <c r="B875" s="4">
        <f t="shared" si="14"/>
        <v>0.64516129032258074</v>
      </c>
      <c r="C875" s="5">
        <v>65.099999999999994</v>
      </c>
      <c r="D875" s="5">
        <v>42</v>
      </c>
      <c r="E875" s="3" t="s">
        <v>7</v>
      </c>
      <c r="F875" s="6">
        <v>44736.34375</v>
      </c>
    </row>
    <row r="876" spans="1:6" x14ac:dyDescent="0.3">
      <c r="A876" s="3">
        <v>875</v>
      </c>
      <c r="B876" s="4">
        <f t="shared" si="14"/>
        <v>0.64520958083832336</v>
      </c>
      <c r="C876" s="5">
        <v>133.6</v>
      </c>
      <c r="D876" s="5">
        <v>86.2</v>
      </c>
      <c r="E876" s="3" t="s">
        <v>11</v>
      </c>
      <c r="F876" s="6">
        <v>45981.606944444437</v>
      </c>
    </row>
    <row r="877" spans="1:6" x14ac:dyDescent="0.3">
      <c r="A877" s="3">
        <v>876</v>
      </c>
      <c r="B877" s="4">
        <f t="shared" si="14"/>
        <v>0.6452648475120385</v>
      </c>
      <c r="C877" s="5">
        <v>186.9</v>
      </c>
      <c r="D877" s="5">
        <v>120.6</v>
      </c>
      <c r="E877" s="3" t="s">
        <v>7</v>
      </c>
      <c r="F877" s="6">
        <v>44686.311805555553</v>
      </c>
    </row>
    <row r="878" spans="1:6" x14ac:dyDescent="0.3">
      <c r="A878" s="3">
        <v>877</v>
      </c>
      <c r="B878" s="4">
        <f t="shared" si="14"/>
        <v>0.64534336782690493</v>
      </c>
      <c r="C878" s="5">
        <v>106.3</v>
      </c>
      <c r="D878" s="5">
        <v>68.599999999999994</v>
      </c>
      <c r="E878" s="3" t="s">
        <v>11</v>
      </c>
      <c r="F878" s="6">
        <v>44830.600694444453</v>
      </c>
    </row>
    <row r="879" spans="1:6" x14ac:dyDescent="0.3">
      <c r="A879" s="3">
        <v>878</v>
      </c>
      <c r="B879" s="4">
        <f t="shared" si="14"/>
        <v>0.6455542021924483</v>
      </c>
      <c r="C879" s="5">
        <v>82.1</v>
      </c>
      <c r="D879" s="5">
        <v>53</v>
      </c>
      <c r="E879" s="3" t="s">
        <v>7</v>
      </c>
      <c r="F879" s="6">
        <v>46104.504861111112</v>
      </c>
    </row>
    <row r="880" spans="1:6" x14ac:dyDescent="0.3">
      <c r="A880" s="3">
        <v>879</v>
      </c>
      <c r="B880" s="4">
        <f t="shared" si="14"/>
        <v>0.64583333333333326</v>
      </c>
      <c r="C880" s="5">
        <v>86.4</v>
      </c>
      <c r="D880" s="5">
        <v>55.8</v>
      </c>
      <c r="E880" s="3" t="s">
        <v>7</v>
      </c>
      <c r="F880" s="6">
        <v>44991.492361111108</v>
      </c>
    </row>
    <row r="881" spans="1:6" x14ac:dyDescent="0.3">
      <c r="A881" s="3">
        <v>880</v>
      </c>
      <c r="B881" s="4">
        <f t="shared" si="14"/>
        <v>0.64623467600700524</v>
      </c>
      <c r="C881" s="5">
        <v>57.1</v>
      </c>
      <c r="D881" s="5">
        <v>36.9</v>
      </c>
      <c r="E881" s="3" t="s">
        <v>11</v>
      </c>
      <c r="F881" s="6">
        <v>45306.140277777777</v>
      </c>
    </row>
    <row r="882" spans="1:6" x14ac:dyDescent="0.3">
      <c r="A882" s="3">
        <v>881</v>
      </c>
      <c r="B882" s="4">
        <f t="shared" si="14"/>
        <v>0.6470588235294118</v>
      </c>
      <c r="C882" s="5">
        <v>79.900000000000006</v>
      </c>
      <c r="D882" s="5">
        <v>51.7</v>
      </c>
      <c r="E882" s="3" t="s">
        <v>7</v>
      </c>
      <c r="F882" s="6">
        <v>44986.818055555559</v>
      </c>
    </row>
    <row r="883" spans="1:6" x14ac:dyDescent="0.3">
      <c r="A883" s="3">
        <v>882</v>
      </c>
      <c r="B883" s="4">
        <f t="shared" si="14"/>
        <v>0.64737793851717895</v>
      </c>
      <c r="C883" s="5">
        <v>55.3</v>
      </c>
      <c r="D883" s="5">
        <v>35.799999999999997</v>
      </c>
      <c r="E883" s="3" t="s">
        <v>7</v>
      </c>
      <c r="F883" s="6">
        <v>44565.53125</v>
      </c>
    </row>
    <row r="884" spans="1:6" x14ac:dyDescent="0.3">
      <c r="A884" s="3">
        <v>883</v>
      </c>
      <c r="B884" s="4">
        <f t="shared" si="14"/>
        <v>0.64749340369393138</v>
      </c>
      <c r="C884" s="5">
        <v>189.5</v>
      </c>
      <c r="D884" s="5">
        <v>122.7</v>
      </c>
      <c r="E884" s="3" t="s">
        <v>7</v>
      </c>
      <c r="F884" s="6">
        <v>44945.322222222218</v>
      </c>
    </row>
    <row r="885" spans="1:6" x14ac:dyDescent="0.3">
      <c r="A885" s="3">
        <v>884</v>
      </c>
      <c r="B885" s="4">
        <f t="shared" si="14"/>
        <v>0.64792176039119809</v>
      </c>
      <c r="C885" s="5">
        <v>81.8</v>
      </c>
      <c r="D885" s="5">
        <v>53</v>
      </c>
      <c r="E885" s="3" t="s">
        <v>7</v>
      </c>
      <c r="F885" s="6">
        <v>44559.427083333343</v>
      </c>
    </row>
    <row r="886" spans="1:6" x14ac:dyDescent="0.3">
      <c r="A886" s="3">
        <v>885</v>
      </c>
      <c r="B886" s="4">
        <f t="shared" si="14"/>
        <v>0.64820512820512821</v>
      </c>
      <c r="C886" s="5">
        <v>97.5</v>
      </c>
      <c r="D886" s="5">
        <v>63.2</v>
      </c>
      <c r="E886" s="3" t="s">
        <v>11</v>
      </c>
      <c r="F886" s="6">
        <v>45139.919444444437</v>
      </c>
    </row>
    <row r="887" spans="1:6" x14ac:dyDescent="0.3">
      <c r="A887" s="3">
        <v>886</v>
      </c>
      <c r="B887" s="4">
        <f t="shared" si="14"/>
        <v>0.64912280701754388</v>
      </c>
      <c r="C887" s="5">
        <v>62.7</v>
      </c>
      <c r="D887" s="5">
        <v>40.700000000000003</v>
      </c>
      <c r="E887" s="3" t="s">
        <v>11</v>
      </c>
      <c r="F887" s="6">
        <v>45776.583333333343</v>
      </c>
    </row>
    <row r="888" spans="1:6" x14ac:dyDescent="0.3">
      <c r="A888" s="3">
        <v>887</v>
      </c>
      <c r="B888" s="4">
        <f t="shared" si="14"/>
        <v>0.64935064935064934</v>
      </c>
      <c r="C888" s="5">
        <v>84.7</v>
      </c>
      <c r="D888" s="5">
        <v>55</v>
      </c>
      <c r="E888" s="3" t="s">
        <v>7</v>
      </c>
      <c r="F888" s="6">
        <v>44564.205555555563</v>
      </c>
    </row>
    <row r="889" spans="1:6" x14ac:dyDescent="0.3">
      <c r="A889" s="3">
        <v>888</v>
      </c>
      <c r="B889" s="4">
        <f t="shared" si="14"/>
        <v>0.64948453608247414</v>
      </c>
      <c r="C889" s="5">
        <v>67.900000000000006</v>
      </c>
      <c r="D889" s="5">
        <v>44.1</v>
      </c>
      <c r="E889" s="3" t="s">
        <v>7</v>
      </c>
      <c r="F889" s="6">
        <v>45014.351388888892</v>
      </c>
    </row>
    <row r="890" spans="1:6" x14ac:dyDescent="0.3">
      <c r="A890" s="3">
        <v>889</v>
      </c>
      <c r="B890" s="4">
        <f t="shared" si="14"/>
        <v>0.64954128440366965</v>
      </c>
      <c r="C890" s="5">
        <v>54.5</v>
      </c>
      <c r="D890" s="5">
        <v>35.4</v>
      </c>
      <c r="E890" s="3" t="s">
        <v>7</v>
      </c>
      <c r="F890" s="6">
        <v>44732.330555555563</v>
      </c>
    </row>
    <row r="891" spans="1:6" x14ac:dyDescent="0.3">
      <c r="A891" s="3">
        <v>890</v>
      </c>
      <c r="B891" s="4">
        <f t="shared" si="14"/>
        <v>0.64955752212389384</v>
      </c>
      <c r="C891" s="5">
        <v>56.5</v>
      </c>
      <c r="D891" s="5">
        <v>36.700000000000003</v>
      </c>
      <c r="E891" s="3" t="s">
        <v>7</v>
      </c>
      <c r="F891" s="6">
        <v>44938.302083333343</v>
      </c>
    </row>
    <row r="892" spans="1:6" x14ac:dyDescent="0.3">
      <c r="A892" s="3">
        <v>891</v>
      </c>
      <c r="B892" s="4">
        <f t="shared" si="14"/>
        <v>0.65024630541871919</v>
      </c>
      <c r="C892" s="5">
        <v>81.2</v>
      </c>
      <c r="D892" s="5">
        <v>52.8</v>
      </c>
      <c r="E892" s="3" t="s">
        <v>11</v>
      </c>
      <c r="F892" s="6">
        <v>44538.15625</v>
      </c>
    </row>
    <row r="893" spans="1:6" x14ac:dyDescent="0.3">
      <c r="A893" s="3">
        <v>892</v>
      </c>
      <c r="B893" s="4">
        <f t="shared" si="14"/>
        <v>0.65025252525252519</v>
      </c>
      <c r="C893" s="5">
        <v>79.2</v>
      </c>
      <c r="D893" s="5">
        <v>51.5</v>
      </c>
      <c r="E893" s="3" t="s">
        <v>7</v>
      </c>
      <c r="F893" s="6">
        <v>44830.459722222222</v>
      </c>
    </row>
    <row r="894" spans="1:6" x14ac:dyDescent="0.3">
      <c r="A894" s="3">
        <v>893</v>
      </c>
      <c r="B894" s="4">
        <f t="shared" si="14"/>
        <v>0.65032444124008659</v>
      </c>
      <c r="C894" s="5">
        <v>138.69999999999999</v>
      </c>
      <c r="D894" s="5">
        <v>90.2</v>
      </c>
      <c r="E894" s="3" t="s">
        <v>11</v>
      </c>
      <c r="F894" s="6">
        <v>45610.681944444441</v>
      </c>
    </row>
    <row r="895" spans="1:6" x14ac:dyDescent="0.3">
      <c r="A895" s="3">
        <v>894</v>
      </c>
      <c r="B895" s="4">
        <f t="shared" si="14"/>
        <v>0.65102974828375282</v>
      </c>
      <c r="C895" s="5">
        <v>174.8</v>
      </c>
      <c r="D895" s="5">
        <v>113.8</v>
      </c>
      <c r="E895" s="3" t="s">
        <v>7</v>
      </c>
      <c r="F895" s="6">
        <v>44665.584027777782</v>
      </c>
    </row>
    <row r="896" spans="1:6" x14ac:dyDescent="0.3">
      <c r="A896" s="3">
        <v>895</v>
      </c>
      <c r="B896" s="4">
        <f t="shared" si="14"/>
        <v>0.65206185567010311</v>
      </c>
      <c r="C896" s="5">
        <v>77.599999999999994</v>
      </c>
      <c r="D896" s="5">
        <v>50.6</v>
      </c>
      <c r="E896" s="3" t="s">
        <v>11</v>
      </c>
      <c r="F896" s="6">
        <v>45756.450694444437</v>
      </c>
    </row>
    <row r="897" spans="1:6" x14ac:dyDescent="0.3">
      <c r="A897" s="3">
        <v>896</v>
      </c>
      <c r="B897" s="4">
        <f t="shared" si="14"/>
        <v>0.65255731922398585</v>
      </c>
      <c r="C897" s="5">
        <v>56.7</v>
      </c>
      <c r="D897" s="5">
        <v>37</v>
      </c>
      <c r="E897" s="3" t="s">
        <v>11</v>
      </c>
      <c r="F897" s="6">
        <v>44903.328472222223</v>
      </c>
    </row>
    <row r="898" spans="1:6" x14ac:dyDescent="0.3">
      <c r="A898" s="3">
        <v>897</v>
      </c>
      <c r="B898" s="4">
        <f t="shared" ref="B898:B961" si="15">D898/C898</f>
        <v>0.65275459098497501</v>
      </c>
      <c r="C898" s="5">
        <v>59.9</v>
      </c>
      <c r="D898" s="5">
        <v>39.1</v>
      </c>
      <c r="E898" s="3" t="s">
        <v>11</v>
      </c>
      <c r="F898" s="6">
        <v>45982.365972222222</v>
      </c>
    </row>
    <row r="899" spans="1:6" x14ac:dyDescent="0.3">
      <c r="A899" s="3">
        <v>898</v>
      </c>
      <c r="B899" s="4">
        <f t="shared" si="15"/>
        <v>0.65361803084223014</v>
      </c>
      <c r="C899" s="5">
        <v>84.3</v>
      </c>
      <c r="D899" s="5">
        <v>55.1</v>
      </c>
      <c r="E899" s="3" t="s">
        <v>11</v>
      </c>
      <c r="F899" s="6">
        <v>44894.543055555558</v>
      </c>
    </row>
    <row r="900" spans="1:6" x14ac:dyDescent="0.3">
      <c r="A900" s="3">
        <v>899</v>
      </c>
      <c r="B900" s="4">
        <f t="shared" si="15"/>
        <v>0.65423728813559323</v>
      </c>
      <c r="C900" s="5">
        <v>59</v>
      </c>
      <c r="D900" s="5">
        <v>38.6</v>
      </c>
      <c r="E900" s="3" t="s">
        <v>7</v>
      </c>
      <c r="F900" s="6">
        <v>44769.324999999997</v>
      </c>
    </row>
    <row r="901" spans="1:6" x14ac:dyDescent="0.3">
      <c r="A901" s="3">
        <v>900</v>
      </c>
      <c r="B901" s="4">
        <f t="shared" si="15"/>
        <v>0.654485049833887</v>
      </c>
      <c r="C901" s="5">
        <v>60.2</v>
      </c>
      <c r="D901" s="5">
        <v>39.4</v>
      </c>
      <c r="E901" s="3" t="s">
        <v>7</v>
      </c>
      <c r="F901" s="6">
        <v>45268.717361111107</v>
      </c>
    </row>
    <row r="902" spans="1:6" x14ac:dyDescent="0.3">
      <c r="A902" s="3">
        <v>901</v>
      </c>
      <c r="B902" s="4">
        <f t="shared" si="15"/>
        <v>0.65517241379310354</v>
      </c>
      <c r="C902" s="5">
        <v>69.599999999999994</v>
      </c>
      <c r="D902" s="5">
        <v>45.6</v>
      </c>
      <c r="E902" s="3" t="s">
        <v>11</v>
      </c>
      <c r="F902" s="6">
        <v>45047.543749999997</v>
      </c>
    </row>
    <row r="903" spans="1:6" x14ac:dyDescent="0.3">
      <c r="A903" s="3">
        <v>902</v>
      </c>
      <c r="B903" s="4">
        <f t="shared" si="15"/>
        <v>0.65535714285714286</v>
      </c>
      <c r="C903" s="5">
        <v>56</v>
      </c>
      <c r="D903" s="5">
        <v>36.700000000000003</v>
      </c>
      <c r="E903" s="3" t="s">
        <v>7</v>
      </c>
      <c r="F903" s="6">
        <v>44991.854861111111</v>
      </c>
    </row>
    <row r="904" spans="1:6" x14ac:dyDescent="0.3">
      <c r="A904" s="3">
        <v>903</v>
      </c>
      <c r="B904" s="4">
        <f t="shared" si="15"/>
        <v>0.6557191392978482</v>
      </c>
      <c r="C904" s="5">
        <v>176.6</v>
      </c>
      <c r="D904" s="5">
        <v>115.8</v>
      </c>
      <c r="E904" s="3" t="s">
        <v>11</v>
      </c>
      <c r="F904" s="6">
        <v>44855.548611111109</v>
      </c>
    </row>
    <row r="905" spans="1:6" x14ac:dyDescent="0.3">
      <c r="A905" s="3">
        <v>904</v>
      </c>
      <c r="B905" s="4">
        <f t="shared" si="15"/>
        <v>0.65592972181551978</v>
      </c>
      <c r="C905" s="5">
        <v>68.3</v>
      </c>
      <c r="D905" s="5">
        <v>44.8</v>
      </c>
      <c r="E905" s="3" t="s">
        <v>11</v>
      </c>
      <c r="F905" s="6">
        <v>45789.271527777782</v>
      </c>
    </row>
    <row r="906" spans="1:6" x14ac:dyDescent="0.3">
      <c r="A906" s="3">
        <v>905</v>
      </c>
      <c r="B906" s="4">
        <f t="shared" si="15"/>
        <v>0.65597920277296362</v>
      </c>
      <c r="C906" s="5">
        <v>115.4</v>
      </c>
      <c r="D906" s="5">
        <v>75.7</v>
      </c>
      <c r="E906" s="3" t="s">
        <v>11</v>
      </c>
      <c r="F906" s="6">
        <v>44827.547222222223</v>
      </c>
    </row>
    <row r="907" spans="1:6" x14ac:dyDescent="0.3">
      <c r="A907" s="3">
        <v>906</v>
      </c>
      <c r="B907" s="4">
        <f t="shared" si="15"/>
        <v>0.65625</v>
      </c>
      <c r="C907" s="5">
        <v>73.599999999999994</v>
      </c>
      <c r="D907" s="5">
        <v>48.3</v>
      </c>
      <c r="E907" s="3" t="s">
        <v>7</v>
      </c>
      <c r="F907" s="6">
        <v>44600.556944444441</v>
      </c>
    </row>
    <row r="908" spans="1:6" x14ac:dyDescent="0.3">
      <c r="A908" s="3">
        <v>907</v>
      </c>
      <c r="B908" s="4">
        <f t="shared" si="15"/>
        <v>0.65625</v>
      </c>
      <c r="C908" s="5">
        <v>80</v>
      </c>
      <c r="D908" s="5">
        <v>52.5</v>
      </c>
      <c r="E908" s="3" t="s">
        <v>7</v>
      </c>
      <c r="F908" s="6">
        <v>46182.695138888892</v>
      </c>
    </row>
    <row r="909" spans="1:6" x14ac:dyDescent="0.3">
      <c r="A909" s="3">
        <v>908</v>
      </c>
      <c r="B909" s="4">
        <f t="shared" si="15"/>
        <v>0.65627319970304387</v>
      </c>
      <c r="C909" s="5">
        <v>134.69999999999999</v>
      </c>
      <c r="D909" s="5">
        <v>88.4</v>
      </c>
      <c r="E909" s="3" t="s">
        <v>11</v>
      </c>
      <c r="F909" s="6">
        <v>45098.251388888893</v>
      </c>
    </row>
    <row r="910" spans="1:6" x14ac:dyDescent="0.3">
      <c r="A910" s="3">
        <v>909</v>
      </c>
      <c r="B910" s="4">
        <f t="shared" si="15"/>
        <v>0.65661861074705119</v>
      </c>
      <c r="C910" s="5">
        <v>76.3</v>
      </c>
      <c r="D910" s="5">
        <v>50.1</v>
      </c>
      <c r="E910" s="3" t="s">
        <v>7</v>
      </c>
      <c r="F910" s="6">
        <v>44581.504166666673</v>
      </c>
    </row>
    <row r="911" spans="1:6" x14ac:dyDescent="0.3">
      <c r="A911" s="3">
        <v>910</v>
      </c>
      <c r="B911" s="4">
        <f t="shared" si="15"/>
        <v>0.65670103092783505</v>
      </c>
      <c r="C911" s="5">
        <v>97</v>
      </c>
      <c r="D911" s="5">
        <v>63.7</v>
      </c>
      <c r="E911" s="3" t="s">
        <v>11</v>
      </c>
      <c r="F911" s="6">
        <v>45678.136805555558</v>
      </c>
    </row>
    <row r="912" spans="1:6" x14ac:dyDescent="0.3">
      <c r="A912" s="3">
        <v>911</v>
      </c>
      <c r="B912" s="4">
        <f t="shared" si="15"/>
        <v>0.65799739921976585</v>
      </c>
      <c r="C912" s="5">
        <v>76.900000000000006</v>
      </c>
      <c r="D912" s="5">
        <v>50.6</v>
      </c>
      <c r="E912" s="3" t="s">
        <v>11</v>
      </c>
      <c r="F912" s="6">
        <v>45245.679166666669</v>
      </c>
    </row>
    <row r="913" spans="1:6" x14ac:dyDescent="0.3">
      <c r="A913" s="3">
        <v>912</v>
      </c>
      <c r="B913" s="4">
        <f t="shared" si="15"/>
        <v>0.65816326530612246</v>
      </c>
      <c r="C913" s="5">
        <v>98</v>
      </c>
      <c r="D913" s="5">
        <v>64.5</v>
      </c>
      <c r="E913" s="3" t="s">
        <v>7</v>
      </c>
      <c r="F913" s="6">
        <v>44831.290277777778</v>
      </c>
    </row>
    <row r="914" spans="1:6" x14ac:dyDescent="0.3">
      <c r="A914" s="3">
        <v>913</v>
      </c>
      <c r="B914" s="4">
        <f t="shared" si="15"/>
        <v>0.65881032547699225</v>
      </c>
      <c r="C914" s="5">
        <v>89.1</v>
      </c>
      <c r="D914" s="5">
        <v>58.7</v>
      </c>
      <c r="E914" s="3" t="s">
        <v>11</v>
      </c>
      <c r="F914" s="6">
        <v>45869.290277777778</v>
      </c>
    </row>
    <row r="915" spans="1:6" x14ac:dyDescent="0.3">
      <c r="A915" s="3">
        <v>914</v>
      </c>
      <c r="B915" s="4">
        <f t="shared" si="15"/>
        <v>0.65895249695493308</v>
      </c>
      <c r="C915" s="5">
        <v>82.1</v>
      </c>
      <c r="D915" s="5">
        <v>54.1</v>
      </c>
      <c r="E915" s="3" t="s">
        <v>7</v>
      </c>
      <c r="F915" s="6">
        <v>45114.547222222223</v>
      </c>
    </row>
    <row r="916" spans="1:6" x14ac:dyDescent="0.3">
      <c r="A916" s="3">
        <v>915</v>
      </c>
      <c r="B916" s="4">
        <f t="shared" si="15"/>
        <v>0.65905848787446519</v>
      </c>
      <c r="C916" s="5">
        <v>70.099999999999994</v>
      </c>
      <c r="D916" s="5">
        <v>46.2</v>
      </c>
      <c r="E916" s="3" t="s">
        <v>7</v>
      </c>
      <c r="F916" s="6">
        <v>44797.704861111109</v>
      </c>
    </row>
    <row r="917" spans="1:6" x14ac:dyDescent="0.3">
      <c r="A917" s="3">
        <v>916</v>
      </c>
      <c r="B917" s="4">
        <f t="shared" si="15"/>
        <v>0.65909090909090906</v>
      </c>
      <c r="C917" s="5">
        <v>57.2</v>
      </c>
      <c r="D917" s="5">
        <v>37.700000000000003</v>
      </c>
      <c r="E917" s="3" t="s">
        <v>11</v>
      </c>
      <c r="F917" s="6">
        <v>46258.042361111111</v>
      </c>
    </row>
    <row r="918" spans="1:6" x14ac:dyDescent="0.3">
      <c r="A918" s="3">
        <v>917</v>
      </c>
      <c r="B918" s="4">
        <f t="shared" si="15"/>
        <v>0.65915915915915924</v>
      </c>
      <c r="C918" s="5">
        <v>66.599999999999994</v>
      </c>
      <c r="D918" s="5">
        <v>43.9</v>
      </c>
      <c r="E918" s="3" t="s">
        <v>11</v>
      </c>
      <c r="F918" s="6">
        <v>45996.318055555559</v>
      </c>
    </row>
    <row r="919" spans="1:6" x14ac:dyDescent="0.3">
      <c r="A919" s="3">
        <v>918</v>
      </c>
      <c r="B919" s="4">
        <f t="shared" si="15"/>
        <v>0.65923282783229264</v>
      </c>
      <c r="C919" s="5">
        <v>112.1</v>
      </c>
      <c r="D919" s="5">
        <v>73.900000000000006</v>
      </c>
      <c r="E919" s="3" t="s">
        <v>7</v>
      </c>
      <c r="F919" s="6">
        <v>45604.34097222222</v>
      </c>
    </row>
    <row r="920" spans="1:6" x14ac:dyDescent="0.3">
      <c r="A920" s="3">
        <v>919</v>
      </c>
      <c r="B920" s="4">
        <f t="shared" si="15"/>
        <v>0.65953109072375138</v>
      </c>
      <c r="C920" s="5">
        <v>98.1</v>
      </c>
      <c r="D920" s="5">
        <v>64.7</v>
      </c>
      <c r="E920" s="3" t="s">
        <v>11</v>
      </c>
      <c r="F920" s="6">
        <v>44788.520833333343</v>
      </c>
    </row>
    <row r="921" spans="1:6" x14ac:dyDescent="0.3">
      <c r="A921" s="3">
        <v>920</v>
      </c>
      <c r="B921" s="4">
        <f t="shared" si="15"/>
        <v>0.66014234875444844</v>
      </c>
      <c r="C921" s="5">
        <v>56.2</v>
      </c>
      <c r="D921" s="5">
        <v>37.1</v>
      </c>
      <c r="E921" s="3" t="s">
        <v>7</v>
      </c>
      <c r="F921" s="6">
        <v>45686.816666666673</v>
      </c>
    </row>
    <row r="922" spans="1:6" x14ac:dyDescent="0.3">
      <c r="A922" s="3">
        <v>921</v>
      </c>
      <c r="B922" s="4">
        <f t="shared" si="15"/>
        <v>0.66089108910891092</v>
      </c>
      <c r="C922" s="5">
        <v>80.8</v>
      </c>
      <c r="D922" s="5">
        <v>53.4</v>
      </c>
      <c r="E922" s="3" t="s">
        <v>11</v>
      </c>
      <c r="F922" s="6">
        <v>44937.627083333333</v>
      </c>
    </row>
    <row r="923" spans="1:6" x14ac:dyDescent="0.3">
      <c r="A923" s="3">
        <v>922</v>
      </c>
      <c r="B923" s="4">
        <f t="shared" si="15"/>
        <v>0.66155988857938719</v>
      </c>
      <c r="C923" s="5">
        <v>71.8</v>
      </c>
      <c r="D923" s="5">
        <v>47.5</v>
      </c>
      <c r="E923" s="3" t="s">
        <v>7</v>
      </c>
      <c r="F923" s="6">
        <v>46014.748611111107</v>
      </c>
    </row>
    <row r="924" spans="1:6" x14ac:dyDescent="0.3">
      <c r="A924" s="3">
        <v>923</v>
      </c>
      <c r="B924" s="4">
        <f t="shared" si="15"/>
        <v>0.66185318892900125</v>
      </c>
      <c r="C924" s="5">
        <v>83.1</v>
      </c>
      <c r="D924" s="5">
        <v>55</v>
      </c>
      <c r="E924" s="3" t="s">
        <v>11</v>
      </c>
      <c r="F924" s="6">
        <v>45071.400694444441</v>
      </c>
    </row>
    <row r="925" spans="1:6" x14ac:dyDescent="0.3">
      <c r="A925" s="3">
        <v>924</v>
      </c>
      <c r="B925" s="4">
        <f t="shared" si="15"/>
        <v>0.66203059805285114</v>
      </c>
      <c r="C925" s="5">
        <v>71.900000000000006</v>
      </c>
      <c r="D925" s="5">
        <v>47.6</v>
      </c>
      <c r="E925" s="3" t="s">
        <v>11</v>
      </c>
      <c r="F925" s="6">
        <v>46099.75</v>
      </c>
    </row>
    <row r="926" spans="1:6" x14ac:dyDescent="0.3">
      <c r="A926" s="3">
        <v>925</v>
      </c>
      <c r="B926" s="4">
        <f t="shared" si="15"/>
        <v>0.6620530565167243</v>
      </c>
      <c r="C926" s="5">
        <v>86.7</v>
      </c>
      <c r="D926" s="5">
        <v>57.4</v>
      </c>
      <c r="E926" s="3" t="s">
        <v>7</v>
      </c>
      <c r="F926" s="6">
        <v>45428.588194444441</v>
      </c>
    </row>
    <row r="927" spans="1:6" x14ac:dyDescent="0.3">
      <c r="A927" s="3">
        <v>926</v>
      </c>
      <c r="B927" s="4">
        <f t="shared" si="15"/>
        <v>0.66225165562913901</v>
      </c>
      <c r="C927" s="5">
        <v>105.7</v>
      </c>
      <c r="D927" s="5">
        <v>70</v>
      </c>
      <c r="E927" s="3" t="s">
        <v>7</v>
      </c>
      <c r="F927" s="6">
        <v>44469.675694444442</v>
      </c>
    </row>
    <row r="928" spans="1:6" x14ac:dyDescent="0.3">
      <c r="A928" s="3">
        <v>927</v>
      </c>
      <c r="B928" s="4">
        <f t="shared" si="15"/>
        <v>0.66225165562913912</v>
      </c>
      <c r="C928" s="5">
        <v>75.5</v>
      </c>
      <c r="D928" s="5">
        <v>50</v>
      </c>
      <c r="E928" s="3" t="s">
        <v>11</v>
      </c>
      <c r="F928" s="6">
        <v>45057.458333333343</v>
      </c>
    </row>
    <row r="929" spans="1:6" x14ac:dyDescent="0.3">
      <c r="A929" s="3">
        <v>928</v>
      </c>
      <c r="B929" s="4">
        <f t="shared" si="15"/>
        <v>0.66246498599439763</v>
      </c>
      <c r="C929" s="5">
        <v>71.400000000000006</v>
      </c>
      <c r="D929" s="5">
        <v>47.3</v>
      </c>
      <c r="E929" s="3" t="s">
        <v>7</v>
      </c>
      <c r="F929" s="6">
        <v>44551.038194444453</v>
      </c>
    </row>
    <row r="930" spans="1:6" x14ac:dyDescent="0.3">
      <c r="A930" s="3">
        <v>929</v>
      </c>
      <c r="B930" s="4">
        <f t="shared" si="15"/>
        <v>0.66362252663622523</v>
      </c>
      <c r="C930" s="5">
        <v>65.7</v>
      </c>
      <c r="D930" s="5">
        <v>43.6</v>
      </c>
      <c r="E930" s="3" t="s">
        <v>11</v>
      </c>
      <c r="F930" s="6">
        <v>45628.488888888889</v>
      </c>
    </row>
    <row r="931" spans="1:6" x14ac:dyDescent="0.3">
      <c r="A931" s="3">
        <v>930</v>
      </c>
      <c r="B931" s="4">
        <f t="shared" si="15"/>
        <v>0.66362599771949826</v>
      </c>
      <c r="C931" s="5">
        <v>87.7</v>
      </c>
      <c r="D931" s="5">
        <v>58.2</v>
      </c>
      <c r="E931" s="3" t="s">
        <v>7</v>
      </c>
      <c r="F931" s="6">
        <v>44572.617361111108</v>
      </c>
    </row>
    <row r="932" spans="1:6" x14ac:dyDescent="0.3">
      <c r="A932" s="3">
        <v>931</v>
      </c>
      <c r="B932" s="4">
        <f t="shared" si="15"/>
        <v>0.66442953020134232</v>
      </c>
      <c r="C932" s="5">
        <v>119.2</v>
      </c>
      <c r="D932" s="5">
        <v>79.2</v>
      </c>
      <c r="E932" s="3" t="s">
        <v>7</v>
      </c>
      <c r="F932" s="6">
        <v>45296.470138888893</v>
      </c>
    </row>
    <row r="933" spans="1:6" x14ac:dyDescent="0.3">
      <c r="A933" s="3">
        <v>932</v>
      </c>
      <c r="B933" s="4">
        <f t="shared" si="15"/>
        <v>0.66533864541832677</v>
      </c>
      <c r="C933" s="5">
        <v>75.3</v>
      </c>
      <c r="D933" s="5">
        <v>50.1</v>
      </c>
      <c r="E933" s="3" t="s">
        <v>7</v>
      </c>
      <c r="F933" s="6">
        <v>45723.720833333333</v>
      </c>
    </row>
    <row r="934" spans="1:6" x14ac:dyDescent="0.3">
      <c r="A934" s="3">
        <v>933</v>
      </c>
      <c r="B934" s="4">
        <f t="shared" si="15"/>
        <v>0.66584463625154133</v>
      </c>
      <c r="C934" s="5">
        <v>81.099999999999994</v>
      </c>
      <c r="D934" s="5">
        <v>54</v>
      </c>
      <c r="E934" s="3" t="s">
        <v>11</v>
      </c>
      <c r="F934" s="6">
        <v>44987.385416666657</v>
      </c>
    </row>
    <row r="935" spans="1:6" x14ac:dyDescent="0.3">
      <c r="A935" s="3">
        <v>934</v>
      </c>
      <c r="B935" s="4">
        <f t="shared" si="15"/>
        <v>0.66731517509727623</v>
      </c>
      <c r="C935" s="5">
        <v>102.8</v>
      </c>
      <c r="D935" s="5">
        <v>68.599999999999994</v>
      </c>
      <c r="E935" s="3" t="s">
        <v>7</v>
      </c>
      <c r="F935" s="6">
        <v>45407.586111111108</v>
      </c>
    </row>
    <row r="936" spans="1:6" x14ac:dyDescent="0.3">
      <c r="A936" s="3">
        <v>935</v>
      </c>
      <c r="B936" s="4">
        <f t="shared" si="15"/>
        <v>0.66739367502726288</v>
      </c>
      <c r="C936" s="5">
        <v>91.7</v>
      </c>
      <c r="D936" s="5">
        <v>61.2</v>
      </c>
      <c r="E936" s="3" t="s">
        <v>7</v>
      </c>
      <c r="F936" s="6">
        <v>45008.48333333333</v>
      </c>
    </row>
    <row r="937" spans="1:6" x14ac:dyDescent="0.3">
      <c r="A937" s="3">
        <v>936</v>
      </c>
      <c r="B937" s="4">
        <f t="shared" si="15"/>
        <v>0.66779661016949154</v>
      </c>
      <c r="C937" s="5">
        <v>88.5</v>
      </c>
      <c r="D937" s="5">
        <v>59.1</v>
      </c>
      <c r="E937" s="3" t="s">
        <v>11</v>
      </c>
      <c r="F937" s="6">
        <v>44510.607638888891</v>
      </c>
    </row>
    <row r="938" spans="1:6" x14ac:dyDescent="0.3">
      <c r="A938" s="3">
        <v>937</v>
      </c>
      <c r="B938" s="4">
        <f t="shared" si="15"/>
        <v>0.66802168021680219</v>
      </c>
      <c r="C938" s="5">
        <v>73.8</v>
      </c>
      <c r="D938" s="5">
        <v>49.3</v>
      </c>
      <c r="E938" s="3" t="s">
        <v>7</v>
      </c>
      <c r="F938" s="6">
        <v>46119.588888888888</v>
      </c>
    </row>
    <row r="939" spans="1:6" x14ac:dyDescent="0.3">
      <c r="A939" s="3">
        <v>938</v>
      </c>
      <c r="B939" s="4">
        <f t="shared" si="15"/>
        <v>0.66806722689075626</v>
      </c>
      <c r="C939" s="5">
        <v>95.2</v>
      </c>
      <c r="D939" s="5">
        <v>63.6</v>
      </c>
      <c r="E939" s="3" t="s">
        <v>11</v>
      </c>
      <c r="F939" s="6">
        <v>44784.373611111107</v>
      </c>
    </row>
    <row r="940" spans="1:6" x14ac:dyDescent="0.3">
      <c r="A940" s="3">
        <v>939</v>
      </c>
      <c r="B940" s="4">
        <f t="shared" si="15"/>
        <v>0.66810810810810806</v>
      </c>
      <c r="C940" s="5">
        <v>92.5</v>
      </c>
      <c r="D940" s="5">
        <v>61.8</v>
      </c>
      <c r="E940" s="3" t="s">
        <v>7</v>
      </c>
      <c r="F940" s="6">
        <v>44880.04583333333</v>
      </c>
    </row>
    <row r="941" spans="1:6" x14ac:dyDescent="0.3">
      <c r="A941" s="3">
        <v>940</v>
      </c>
      <c r="B941" s="4">
        <f t="shared" si="15"/>
        <v>0.66815003178639532</v>
      </c>
      <c r="C941" s="5">
        <v>157.30000000000001</v>
      </c>
      <c r="D941" s="5">
        <v>105.1</v>
      </c>
      <c r="E941" s="3" t="s">
        <v>7</v>
      </c>
      <c r="F941" s="6">
        <v>44929.743055555547</v>
      </c>
    </row>
    <row r="942" spans="1:6" x14ac:dyDescent="0.3">
      <c r="A942" s="3">
        <v>941</v>
      </c>
      <c r="B942" s="4">
        <f t="shared" si="15"/>
        <v>0.66833333333333333</v>
      </c>
      <c r="C942" s="5">
        <v>60</v>
      </c>
      <c r="D942" s="5">
        <v>40.1</v>
      </c>
      <c r="E942" s="3" t="s">
        <v>7</v>
      </c>
      <c r="F942" s="6">
        <v>45107.384722222218</v>
      </c>
    </row>
    <row r="943" spans="1:6" x14ac:dyDescent="0.3">
      <c r="A943" s="3">
        <v>942</v>
      </c>
      <c r="B943" s="4">
        <f t="shared" si="15"/>
        <v>0.66911764705882359</v>
      </c>
      <c r="C943" s="5">
        <v>81.599999999999994</v>
      </c>
      <c r="D943" s="5">
        <v>54.6</v>
      </c>
      <c r="E943" s="3" t="s">
        <v>11</v>
      </c>
      <c r="F943" s="6">
        <v>45534.354861111111</v>
      </c>
    </row>
    <row r="944" spans="1:6" x14ac:dyDescent="0.3">
      <c r="A944" s="3">
        <v>943</v>
      </c>
      <c r="B944" s="4">
        <f t="shared" si="15"/>
        <v>0.66945996275605213</v>
      </c>
      <c r="C944" s="5">
        <v>107.4</v>
      </c>
      <c r="D944" s="5">
        <v>71.900000000000006</v>
      </c>
      <c r="E944" s="3" t="s">
        <v>11</v>
      </c>
      <c r="F944" s="6">
        <v>44832.256249999999</v>
      </c>
    </row>
    <row r="945" spans="1:6" x14ac:dyDescent="0.3">
      <c r="A945" s="3">
        <v>944</v>
      </c>
      <c r="B945" s="4">
        <f t="shared" si="15"/>
        <v>0.67023172905525852</v>
      </c>
      <c r="C945" s="5">
        <v>56.1</v>
      </c>
      <c r="D945" s="5">
        <v>37.6</v>
      </c>
      <c r="E945" s="3" t="s">
        <v>11</v>
      </c>
      <c r="F945" s="6">
        <v>46079.556250000001</v>
      </c>
    </row>
    <row r="946" spans="1:6" x14ac:dyDescent="0.3">
      <c r="A946" s="3">
        <v>945</v>
      </c>
      <c r="B946" s="4">
        <f t="shared" si="15"/>
        <v>0.67030965391621122</v>
      </c>
      <c r="C946" s="5">
        <v>54.9</v>
      </c>
      <c r="D946" s="5">
        <v>36.799999999999997</v>
      </c>
      <c r="E946" s="3" t="s">
        <v>11</v>
      </c>
      <c r="F946" s="6">
        <v>44713.3</v>
      </c>
    </row>
    <row r="947" spans="1:6" x14ac:dyDescent="0.3">
      <c r="A947" s="3">
        <v>946</v>
      </c>
      <c r="B947" s="4">
        <f t="shared" si="15"/>
        <v>0.67067669172932332</v>
      </c>
      <c r="C947" s="5">
        <v>133</v>
      </c>
      <c r="D947" s="5">
        <v>89.2</v>
      </c>
      <c r="E947" s="3" t="s">
        <v>7</v>
      </c>
      <c r="F947" s="6">
        <v>45700.5625</v>
      </c>
    </row>
    <row r="948" spans="1:6" x14ac:dyDescent="0.3">
      <c r="A948" s="3">
        <v>947</v>
      </c>
      <c r="B948" s="4">
        <f t="shared" si="15"/>
        <v>0.67153284671532854</v>
      </c>
      <c r="C948" s="5">
        <v>95.9</v>
      </c>
      <c r="D948" s="5">
        <v>64.400000000000006</v>
      </c>
      <c r="E948" s="3" t="s">
        <v>7</v>
      </c>
      <c r="F948" s="6">
        <v>44742.618055555547</v>
      </c>
    </row>
    <row r="949" spans="1:6" x14ac:dyDescent="0.3">
      <c r="A949" s="3">
        <v>948</v>
      </c>
      <c r="B949" s="4">
        <f t="shared" si="15"/>
        <v>0.67185628742514969</v>
      </c>
      <c r="C949" s="5">
        <v>83.5</v>
      </c>
      <c r="D949" s="5">
        <v>56.1</v>
      </c>
      <c r="E949" s="3" t="s">
        <v>7</v>
      </c>
      <c r="F949" s="6">
        <v>46056.499305555553</v>
      </c>
    </row>
    <row r="950" spans="1:6" x14ac:dyDescent="0.3">
      <c r="A950" s="3">
        <v>949</v>
      </c>
      <c r="B950" s="4">
        <f t="shared" si="15"/>
        <v>0.67206040992448757</v>
      </c>
      <c r="C950" s="5">
        <v>92.7</v>
      </c>
      <c r="D950" s="5">
        <v>62.3</v>
      </c>
      <c r="E950" s="3" t="s">
        <v>11</v>
      </c>
      <c r="F950" s="6">
        <v>45404.772222222222</v>
      </c>
    </row>
    <row r="951" spans="1:6" x14ac:dyDescent="0.3">
      <c r="A951" s="3">
        <v>950</v>
      </c>
      <c r="B951" s="4">
        <f t="shared" si="15"/>
        <v>0.67246673490276354</v>
      </c>
      <c r="C951" s="5">
        <v>97.7</v>
      </c>
      <c r="D951" s="5">
        <v>65.7</v>
      </c>
      <c r="E951" s="3" t="s">
        <v>11</v>
      </c>
      <c r="F951" s="6">
        <v>45345.336805555547</v>
      </c>
    </row>
    <row r="952" spans="1:6" x14ac:dyDescent="0.3">
      <c r="A952" s="3">
        <v>951</v>
      </c>
      <c r="B952" s="4">
        <f t="shared" si="15"/>
        <v>0.67278617710583155</v>
      </c>
      <c r="C952" s="5">
        <v>92.6</v>
      </c>
      <c r="D952" s="5">
        <v>62.3</v>
      </c>
      <c r="E952" s="3" t="s">
        <v>7</v>
      </c>
      <c r="F952" s="6">
        <v>45931.667361111111</v>
      </c>
    </row>
    <row r="953" spans="1:6" x14ac:dyDescent="0.3">
      <c r="A953" s="3">
        <v>952</v>
      </c>
      <c r="B953" s="4">
        <f t="shared" si="15"/>
        <v>0.67304347826086963</v>
      </c>
      <c r="C953" s="5">
        <v>57.5</v>
      </c>
      <c r="D953" s="5">
        <v>38.700000000000003</v>
      </c>
      <c r="E953" s="3" t="s">
        <v>7</v>
      </c>
      <c r="F953" s="6">
        <v>44733.261111111111</v>
      </c>
    </row>
    <row r="954" spans="1:6" x14ac:dyDescent="0.3">
      <c r="A954" s="3">
        <v>953</v>
      </c>
      <c r="B954" s="4">
        <f t="shared" si="15"/>
        <v>0.67321867321867312</v>
      </c>
      <c r="C954" s="5">
        <v>81.400000000000006</v>
      </c>
      <c r="D954" s="5">
        <v>54.8</v>
      </c>
      <c r="E954" s="3" t="s">
        <v>11</v>
      </c>
      <c r="F954" s="6">
        <v>45910.520833333343</v>
      </c>
    </row>
    <row r="955" spans="1:6" x14ac:dyDescent="0.3">
      <c r="A955" s="3">
        <v>954</v>
      </c>
      <c r="B955" s="4">
        <f t="shared" si="15"/>
        <v>0.67377201112140872</v>
      </c>
      <c r="C955" s="5">
        <v>107.9</v>
      </c>
      <c r="D955" s="5">
        <v>72.7</v>
      </c>
      <c r="E955" s="3" t="s">
        <v>7</v>
      </c>
      <c r="F955" s="6">
        <v>45084.729861111111</v>
      </c>
    </row>
    <row r="956" spans="1:6" x14ac:dyDescent="0.3">
      <c r="A956" s="3">
        <v>955</v>
      </c>
      <c r="B956" s="4">
        <f t="shared" si="15"/>
        <v>0.67380136986301375</v>
      </c>
      <c r="C956" s="5">
        <v>116.8</v>
      </c>
      <c r="D956" s="5">
        <v>78.7</v>
      </c>
      <c r="E956" s="3" t="s">
        <v>7</v>
      </c>
      <c r="F956" s="6">
        <v>46169.496527777781</v>
      </c>
    </row>
    <row r="957" spans="1:6" x14ac:dyDescent="0.3">
      <c r="A957" s="3">
        <v>956</v>
      </c>
      <c r="B957" s="4">
        <f t="shared" si="15"/>
        <v>0.67405063291139244</v>
      </c>
      <c r="C957" s="5">
        <v>63.2</v>
      </c>
      <c r="D957" s="5">
        <v>42.6</v>
      </c>
      <c r="E957" s="3" t="s">
        <v>11</v>
      </c>
      <c r="F957" s="6">
        <v>45077.038888888892</v>
      </c>
    </row>
    <row r="958" spans="1:6" x14ac:dyDescent="0.3">
      <c r="A958" s="3">
        <v>957</v>
      </c>
      <c r="B958" s="4">
        <f t="shared" si="15"/>
        <v>0.67412935323383083</v>
      </c>
      <c r="C958" s="5">
        <v>80.400000000000006</v>
      </c>
      <c r="D958" s="5">
        <v>54.2</v>
      </c>
      <c r="E958" s="3" t="s">
        <v>11</v>
      </c>
      <c r="F958" s="6">
        <v>45853.521527777782</v>
      </c>
    </row>
    <row r="959" spans="1:6" x14ac:dyDescent="0.3">
      <c r="A959" s="3">
        <v>958</v>
      </c>
      <c r="B959" s="4">
        <f t="shared" si="15"/>
        <v>0.67421790722761599</v>
      </c>
      <c r="C959" s="5">
        <v>92.7</v>
      </c>
      <c r="D959" s="5">
        <v>62.5</v>
      </c>
      <c r="E959" s="3" t="s">
        <v>7</v>
      </c>
      <c r="F959" s="6">
        <v>45378.571527777778</v>
      </c>
    </row>
    <row r="960" spans="1:6" x14ac:dyDescent="0.3">
      <c r="A960" s="3">
        <v>959</v>
      </c>
      <c r="B960" s="4">
        <f t="shared" si="15"/>
        <v>0.67441860465116288</v>
      </c>
      <c r="C960" s="5">
        <v>55.9</v>
      </c>
      <c r="D960" s="5">
        <v>37.700000000000003</v>
      </c>
      <c r="E960" s="3" t="s">
        <v>11</v>
      </c>
      <c r="F960" s="6">
        <v>45835.52847222222</v>
      </c>
    </row>
    <row r="961" spans="1:6" x14ac:dyDescent="0.3">
      <c r="A961" s="3">
        <v>960</v>
      </c>
      <c r="B961" s="4">
        <f t="shared" si="15"/>
        <v>0.67441860465116288</v>
      </c>
      <c r="C961" s="5">
        <v>55.9</v>
      </c>
      <c r="D961" s="5">
        <v>37.700000000000003</v>
      </c>
      <c r="E961" s="3" t="s">
        <v>11</v>
      </c>
      <c r="F961" s="6">
        <v>45943.460416666669</v>
      </c>
    </row>
    <row r="962" spans="1:6" x14ac:dyDescent="0.3">
      <c r="A962" s="3">
        <v>961</v>
      </c>
      <c r="B962" s="4">
        <f t="shared" ref="B962:B1025" si="16">D962/C962</f>
        <v>0.67512690355329952</v>
      </c>
      <c r="C962" s="5">
        <v>157.6</v>
      </c>
      <c r="D962" s="5">
        <v>106.4</v>
      </c>
      <c r="E962" s="3" t="s">
        <v>11</v>
      </c>
      <c r="F962" s="6">
        <v>45770.388888888891</v>
      </c>
    </row>
    <row r="963" spans="1:6" x14ac:dyDescent="0.3">
      <c r="A963" s="3">
        <v>962</v>
      </c>
      <c r="B963" s="4">
        <f t="shared" si="16"/>
        <v>0.6752232142857143</v>
      </c>
      <c r="C963" s="5">
        <v>89.6</v>
      </c>
      <c r="D963" s="5">
        <v>60.5</v>
      </c>
      <c r="E963" s="3" t="s">
        <v>7</v>
      </c>
      <c r="F963" s="6">
        <v>46152.918749999997</v>
      </c>
    </row>
    <row r="964" spans="1:6" x14ac:dyDescent="0.3">
      <c r="A964" s="3">
        <v>963</v>
      </c>
      <c r="B964" s="4">
        <f t="shared" si="16"/>
        <v>0.67594936708860753</v>
      </c>
      <c r="C964" s="5">
        <v>79</v>
      </c>
      <c r="D964" s="5">
        <v>53.4</v>
      </c>
      <c r="E964" s="3" t="s">
        <v>7</v>
      </c>
      <c r="F964" s="6">
        <v>45217.037499999999</v>
      </c>
    </row>
    <row r="965" spans="1:6" x14ac:dyDescent="0.3">
      <c r="A965" s="3">
        <v>964</v>
      </c>
      <c r="B965" s="4">
        <f t="shared" si="16"/>
        <v>0.67596899224806206</v>
      </c>
      <c r="C965" s="5">
        <v>64.5</v>
      </c>
      <c r="D965" s="5">
        <v>43.6</v>
      </c>
      <c r="E965" s="3" t="s">
        <v>11</v>
      </c>
      <c r="F965" s="6">
        <v>44627.303472222222</v>
      </c>
    </row>
    <row r="966" spans="1:6" x14ac:dyDescent="0.3">
      <c r="A966" s="3">
        <v>965</v>
      </c>
      <c r="B966" s="4">
        <f t="shared" si="16"/>
        <v>0.67613326051338063</v>
      </c>
      <c r="C966" s="5">
        <v>183.1</v>
      </c>
      <c r="D966" s="5">
        <v>123.8</v>
      </c>
      <c r="E966" s="3" t="s">
        <v>11</v>
      </c>
      <c r="F966" s="6">
        <v>44771.665277777778</v>
      </c>
    </row>
    <row r="967" spans="1:6" x14ac:dyDescent="0.3">
      <c r="A967" s="3">
        <v>966</v>
      </c>
      <c r="B967" s="4">
        <f t="shared" si="16"/>
        <v>0.6762589928057553</v>
      </c>
      <c r="C967" s="5">
        <v>83.4</v>
      </c>
      <c r="D967" s="5">
        <v>56.4</v>
      </c>
      <c r="E967" s="3" t="s">
        <v>11</v>
      </c>
      <c r="F967" s="6">
        <v>44825.304861111108</v>
      </c>
    </row>
    <row r="968" spans="1:6" x14ac:dyDescent="0.3">
      <c r="A968" s="3">
        <v>967</v>
      </c>
      <c r="B968" s="4">
        <f t="shared" si="16"/>
        <v>0.67732962447844225</v>
      </c>
      <c r="C968" s="5">
        <v>71.900000000000006</v>
      </c>
      <c r="D968" s="5">
        <v>48.7</v>
      </c>
      <c r="E968" s="3" t="s">
        <v>11</v>
      </c>
      <c r="F968" s="6">
        <v>46092.201388888891</v>
      </c>
    </row>
    <row r="969" spans="1:6" x14ac:dyDescent="0.3">
      <c r="A969" s="3">
        <v>968</v>
      </c>
      <c r="B969" s="4">
        <f t="shared" si="16"/>
        <v>0.67796610169491522</v>
      </c>
      <c r="C969" s="5">
        <v>76.7</v>
      </c>
      <c r="D969" s="5">
        <v>52</v>
      </c>
      <c r="E969" s="3" t="s">
        <v>11</v>
      </c>
      <c r="F969" s="6">
        <v>45131.488194444442</v>
      </c>
    </row>
    <row r="970" spans="1:6" x14ac:dyDescent="0.3">
      <c r="A970" s="3">
        <v>969</v>
      </c>
      <c r="B970" s="4">
        <f t="shared" si="16"/>
        <v>0.67821782178217827</v>
      </c>
      <c r="C970" s="5">
        <v>60.6</v>
      </c>
      <c r="D970" s="5">
        <v>41.1</v>
      </c>
      <c r="E970" s="3" t="s">
        <v>7</v>
      </c>
      <c r="F970" s="6">
        <v>45232.338888888888</v>
      </c>
    </row>
    <row r="971" spans="1:6" x14ac:dyDescent="0.3">
      <c r="A971" s="3">
        <v>970</v>
      </c>
      <c r="B971" s="4">
        <f t="shared" si="16"/>
        <v>0.67853107344632768</v>
      </c>
      <c r="C971" s="5">
        <v>177</v>
      </c>
      <c r="D971" s="5">
        <v>120.1</v>
      </c>
      <c r="E971" s="3" t="s">
        <v>7</v>
      </c>
      <c r="F971" s="6">
        <v>46104.472916666673</v>
      </c>
    </row>
    <row r="972" spans="1:6" x14ac:dyDescent="0.3">
      <c r="A972" s="3">
        <v>971</v>
      </c>
      <c r="B972" s="4">
        <f t="shared" si="16"/>
        <v>0.67900302114803623</v>
      </c>
      <c r="C972" s="5">
        <v>132.4</v>
      </c>
      <c r="D972" s="5">
        <v>89.9</v>
      </c>
      <c r="E972" s="3" t="s">
        <v>11</v>
      </c>
      <c r="F972" s="6">
        <v>45506.520833333343</v>
      </c>
    </row>
    <row r="973" spans="1:6" x14ac:dyDescent="0.3">
      <c r="A973" s="3">
        <v>972</v>
      </c>
      <c r="B973" s="4">
        <f t="shared" si="16"/>
        <v>0.68011958146487284</v>
      </c>
      <c r="C973" s="5">
        <v>66.900000000000006</v>
      </c>
      <c r="D973" s="5">
        <v>45.5</v>
      </c>
      <c r="E973" s="3" t="s">
        <v>7</v>
      </c>
      <c r="F973" s="6">
        <v>45159.361805555563</v>
      </c>
    </row>
    <row r="974" spans="1:6" x14ac:dyDescent="0.3">
      <c r="A974" s="3">
        <v>973</v>
      </c>
      <c r="B974" s="4">
        <f t="shared" si="16"/>
        <v>0.6802631578947369</v>
      </c>
      <c r="C974" s="5">
        <v>76</v>
      </c>
      <c r="D974" s="5">
        <v>51.7</v>
      </c>
      <c r="E974" s="3" t="s">
        <v>11</v>
      </c>
      <c r="F974" s="6">
        <v>44895.194444444453</v>
      </c>
    </row>
    <row r="975" spans="1:6" x14ac:dyDescent="0.3">
      <c r="A975" s="3">
        <v>974</v>
      </c>
      <c r="B975" s="4">
        <f t="shared" si="16"/>
        <v>0.68049155145929341</v>
      </c>
      <c r="C975" s="5">
        <v>65.099999999999994</v>
      </c>
      <c r="D975" s="5">
        <v>44.3</v>
      </c>
      <c r="E975" s="3" t="s">
        <v>7</v>
      </c>
      <c r="F975" s="6">
        <v>44497.51666666667</v>
      </c>
    </row>
    <row r="976" spans="1:6" x14ac:dyDescent="0.3">
      <c r="A976" s="3">
        <v>975</v>
      </c>
      <c r="B976" s="4">
        <f t="shared" si="16"/>
        <v>0.68108974358974361</v>
      </c>
      <c r="C976" s="5">
        <v>62.4</v>
      </c>
      <c r="D976" s="5">
        <v>42.5</v>
      </c>
      <c r="E976" s="3" t="s">
        <v>11</v>
      </c>
      <c r="F976" s="6">
        <v>45224.616666666669</v>
      </c>
    </row>
    <row r="977" spans="1:6" x14ac:dyDescent="0.3">
      <c r="A977" s="3">
        <v>976</v>
      </c>
      <c r="B977" s="4">
        <f t="shared" si="16"/>
        <v>0.68211920529801329</v>
      </c>
      <c r="C977" s="5">
        <v>75.5</v>
      </c>
      <c r="D977" s="5">
        <v>51.5</v>
      </c>
      <c r="E977" s="3" t="s">
        <v>7</v>
      </c>
      <c r="F977" s="6">
        <v>44781.408333333333</v>
      </c>
    </row>
    <row r="978" spans="1:6" x14ac:dyDescent="0.3">
      <c r="A978" s="3">
        <v>977</v>
      </c>
      <c r="B978" s="4">
        <f t="shared" si="16"/>
        <v>0.68239795918367341</v>
      </c>
      <c r="C978" s="5">
        <v>78.400000000000006</v>
      </c>
      <c r="D978" s="5">
        <v>53.5</v>
      </c>
      <c r="E978" s="3" t="s">
        <v>11</v>
      </c>
      <c r="F978" s="6">
        <v>44830.137499999997</v>
      </c>
    </row>
    <row r="979" spans="1:6" x14ac:dyDescent="0.3">
      <c r="A979" s="3">
        <v>978</v>
      </c>
      <c r="B979" s="4">
        <f t="shared" si="16"/>
        <v>0.68245614035087721</v>
      </c>
      <c r="C979" s="5">
        <v>57</v>
      </c>
      <c r="D979" s="5">
        <v>38.9</v>
      </c>
      <c r="E979" s="3" t="s">
        <v>11</v>
      </c>
      <c r="F979" s="6">
        <v>44844.544444444437</v>
      </c>
    </row>
    <row r="980" spans="1:6" x14ac:dyDescent="0.3">
      <c r="A980" s="3">
        <v>979</v>
      </c>
      <c r="B980" s="4">
        <f t="shared" si="16"/>
        <v>0.68331922099915332</v>
      </c>
      <c r="C980" s="5">
        <v>118.1</v>
      </c>
      <c r="D980" s="5">
        <v>80.7</v>
      </c>
      <c r="E980" s="3" t="s">
        <v>11</v>
      </c>
      <c r="F980" s="6">
        <v>45468.376388888893</v>
      </c>
    </row>
    <row r="981" spans="1:6" x14ac:dyDescent="0.3">
      <c r="A981" s="3">
        <v>980</v>
      </c>
      <c r="B981" s="4">
        <f t="shared" si="16"/>
        <v>0.68333333333333335</v>
      </c>
      <c r="C981" s="5">
        <v>78</v>
      </c>
      <c r="D981" s="5">
        <v>53.3</v>
      </c>
      <c r="E981" s="3" t="s">
        <v>11</v>
      </c>
      <c r="F981" s="6">
        <v>45026.395833333343</v>
      </c>
    </row>
    <row r="982" spans="1:6" x14ac:dyDescent="0.3">
      <c r="A982" s="3">
        <v>981</v>
      </c>
      <c r="B982" s="4">
        <f t="shared" si="16"/>
        <v>0.68359700249791844</v>
      </c>
      <c r="C982" s="5">
        <v>120.1</v>
      </c>
      <c r="D982" s="5">
        <v>82.1</v>
      </c>
      <c r="E982" s="3" t="s">
        <v>11</v>
      </c>
      <c r="F982" s="6">
        <v>46104.484027777777</v>
      </c>
    </row>
    <row r="983" spans="1:6" x14ac:dyDescent="0.3">
      <c r="A983" s="3">
        <v>982</v>
      </c>
      <c r="B983" s="4">
        <f t="shared" si="16"/>
        <v>0.68365553602811946</v>
      </c>
      <c r="C983" s="5">
        <v>56.9</v>
      </c>
      <c r="D983" s="5">
        <v>38.9</v>
      </c>
      <c r="E983" s="3" t="s">
        <v>7</v>
      </c>
      <c r="F983" s="6">
        <v>45631.770833333343</v>
      </c>
    </row>
    <row r="984" spans="1:6" x14ac:dyDescent="0.3">
      <c r="A984" s="3">
        <v>983</v>
      </c>
      <c r="B984" s="4">
        <f t="shared" si="16"/>
        <v>0.68396226415094341</v>
      </c>
      <c r="C984" s="5">
        <v>106</v>
      </c>
      <c r="D984" s="5">
        <v>72.5</v>
      </c>
      <c r="E984" s="3" t="s">
        <v>11</v>
      </c>
      <c r="F984" s="6">
        <v>45845.611111111109</v>
      </c>
    </row>
    <row r="985" spans="1:6" x14ac:dyDescent="0.3">
      <c r="A985" s="3">
        <v>984</v>
      </c>
      <c r="B985" s="4">
        <f t="shared" si="16"/>
        <v>0.68407310704960844</v>
      </c>
      <c r="C985" s="5">
        <v>76.599999999999994</v>
      </c>
      <c r="D985" s="5">
        <v>52.4</v>
      </c>
      <c r="E985" s="3" t="s">
        <v>11</v>
      </c>
      <c r="F985" s="6">
        <v>45939.546527777777</v>
      </c>
    </row>
    <row r="986" spans="1:6" x14ac:dyDescent="0.3">
      <c r="A986" s="3">
        <v>985</v>
      </c>
      <c r="B986" s="4">
        <f t="shared" si="16"/>
        <v>0.68421052631578938</v>
      </c>
      <c r="C986" s="5">
        <v>106.4</v>
      </c>
      <c r="D986" s="5">
        <v>72.8</v>
      </c>
      <c r="E986" s="3" t="s">
        <v>11</v>
      </c>
      <c r="F986" s="6">
        <v>45170.524305555547</v>
      </c>
    </row>
    <row r="987" spans="1:6" x14ac:dyDescent="0.3">
      <c r="A987" s="3">
        <v>986</v>
      </c>
      <c r="B987" s="4">
        <f t="shared" si="16"/>
        <v>0.68497109826589586</v>
      </c>
      <c r="C987" s="5">
        <v>69.2</v>
      </c>
      <c r="D987" s="5">
        <v>47.4</v>
      </c>
      <c r="E987" s="3" t="s">
        <v>11</v>
      </c>
      <c r="F987" s="6">
        <v>45889.333333333343</v>
      </c>
    </row>
    <row r="988" spans="1:6" x14ac:dyDescent="0.3">
      <c r="A988" s="3">
        <v>987</v>
      </c>
      <c r="B988" s="4">
        <f t="shared" si="16"/>
        <v>0.68639053254437865</v>
      </c>
      <c r="C988" s="5">
        <v>50.7</v>
      </c>
      <c r="D988" s="5">
        <v>34.799999999999997</v>
      </c>
      <c r="E988" s="3" t="s">
        <v>11</v>
      </c>
      <c r="F988" s="6">
        <v>45783.824999999997</v>
      </c>
    </row>
    <row r="989" spans="1:6" x14ac:dyDescent="0.3">
      <c r="A989" s="3">
        <v>988</v>
      </c>
      <c r="B989" s="4">
        <f t="shared" si="16"/>
        <v>0.68639887244538411</v>
      </c>
      <c r="C989" s="5">
        <v>141.9</v>
      </c>
      <c r="D989" s="5">
        <v>97.4</v>
      </c>
      <c r="E989" s="3" t="s">
        <v>7</v>
      </c>
      <c r="F989" s="6">
        <v>44465.885416666657</v>
      </c>
    </row>
    <row r="990" spans="1:6" x14ac:dyDescent="0.3">
      <c r="A990" s="3">
        <v>989</v>
      </c>
      <c r="B990" s="4">
        <f t="shared" si="16"/>
        <v>0.68673565380997181</v>
      </c>
      <c r="C990" s="5">
        <v>106.3</v>
      </c>
      <c r="D990" s="5">
        <v>73</v>
      </c>
      <c r="E990" s="3" t="s">
        <v>7</v>
      </c>
      <c r="F990" s="6">
        <v>45091.755555555559</v>
      </c>
    </row>
    <row r="991" spans="1:6" x14ac:dyDescent="0.3">
      <c r="A991" s="3">
        <v>990</v>
      </c>
      <c r="B991" s="4">
        <f t="shared" si="16"/>
        <v>0.6868198307134219</v>
      </c>
      <c r="C991" s="5">
        <v>82.7</v>
      </c>
      <c r="D991" s="5">
        <v>56.8</v>
      </c>
      <c r="E991" s="3" t="s">
        <v>7</v>
      </c>
      <c r="F991" s="6">
        <v>44508.352777777778</v>
      </c>
    </row>
    <row r="992" spans="1:6" x14ac:dyDescent="0.3">
      <c r="A992" s="3">
        <v>991</v>
      </c>
      <c r="B992" s="4">
        <f t="shared" si="16"/>
        <v>0.68715846994535512</v>
      </c>
      <c r="C992" s="5">
        <v>73.2</v>
      </c>
      <c r="D992" s="5">
        <v>50.3</v>
      </c>
      <c r="E992" s="3" t="s">
        <v>7</v>
      </c>
      <c r="F992" s="6">
        <v>46203.521527777782</v>
      </c>
    </row>
    <row r="993" spans="1:6" x14ac:dyDescent="0.3">
      <c r="A993" s="3">
        <v>992</v>
      </c>
      <c r="B993" s="4">
        <f t="shared" si="16"/>
        <v>0.68731563421828912</v>
      </c>
      <c r="C993" s="5">
        <v>101.7</v>
      </c>
      <c r="D993" s="5">
        <v>69.900000000000006</v>
      </c>
      <c r="E993" s="3" t="s">
        <v>7</v>
      </c>
      <c r="F993" s="6">
        <v>44910.209027777782</v>
      </c>
    </row>
    <row r="994" spans="1:6" x14ac:dyDescent="0.3">
      <c r="A994" s="3">
        <v>993</v>
      </c>
      <c r="B994" s="4">
        <f t="shared" si="16"/>
        <v>0.68776371308016881</v>
      </c>
      <c r="C994" s="5">
        <v>94.8</v>
      </c>
      <c r="D994" s="5">
        <v>65.2</v>
      </c>
      <c r="E994" s="3" t="s">
        <v>11</v>
      </c>
      <c r="F994" s="6">
        <v>46112.063888888893</v>
      </c>
    </row>
    <row r="995" spans="1:6" x14ac:dyDescent="0.3">
      <c r="A995" s="3">
        <v>994</v>
      </c>
      <c r="B995" s="4">
        <f t="shared" si="16"/>
        <v>0.68781725888324874</v>
      </c>
      <c r="C995" s="5">
        <v>78.8</v>
      </c>
      <c r="D995" s="5">
        <v>54.2</v>
      </c>
      <c r="E995" s="3" t="s">
        <v>11</v>
      </c>
      <c r="F995" s="6">
        <v>44841.620833333327</v>
      </c>
    </row>
    <row r="996" spans="1:6" x14ac:dyDescent="0.3">
      <c r="A996" s="3">
        <v>995</v>
      </c>
      <c r="B996" s="4">
        <f t="shared" si="16"/>
        <v>0.68825910931174095</v>
      </c>
      <c r="C996" s="5">
        <v>74.099999999999994</v>
      </c>
      <c r="D996" s="5">
        <v>51</v>
      </c>
      <c r="E996" s="3" t="s">
        <v>11</v>
      </c>
      <c r="F996" s="6">
        <v>45611.491666666669</v>
      </c>
    </row>
    <row r="997" spans="1:6" x14ac:dyDescent="0.3">
      <c r="A997" s="3">
        <v>996</v>
      </c>
      <c r="B997" s="4">
        <f t="shared" si="16"/>
        <v>0.68850267379679142</v>
      </c>
      <c r="C997" s="5">
        <v>74.8</v>
      </c>
      <c r="D997" s="5">
        <v>51.5</v>
      </c>
      <c r="E997" s="3" t="s">
        <v>11</v>
      </c>
      <c r="F997" s="6">
        <v>44678.573611111111</v>
      </c>
    </row>
    <row r="998" spans="1:6" x14ac:dyDescent="0.3">
      <c r="A998" s="3">
        <v>997</v>
      </c>
      <c r="B998" s="4">
        <f t="shared" si="16"/>
        <v>0.68855368234250214</v>
      </c>
      <c r="C998" s="5">
        <v>112.7</v>
      </c>
      <c r="D998" s="5">
        <v>77.599999999999994</v>
      </c>
      <c r="E998" s="3" t="s">
        <v>7</v>
      </c>
      <c r="F998" s="6">
        <v>45756.336111111108</v>
      </c>
    </row>
    <row r="999" spans="1:6" x14ac:dyDescent="0.3">
      <c r="A999" s="3">
        <v>998</v>
      </c>
      <c r="B999" s="4">
        <f t="shared" si="16"/>
        <v>0.68888888888888888</v>
      </c>
      <c r="C999" s="5">
        <v>94.5</v>
      </c>
      <c r="D999" s="5">
        <v>65.099999999999994</v>
      </c>
      <c r="E999" s="3" t="s">
        <v>7</v>
      </c>
      <c r="F999" s="6">
        <v>45303.506944444453</v>
      </c>
    </row>
    <row r="1000" spans="1:6" x14ac:dyDescent="0.3">
      <c r="A1000" s="3">
        <v>999</v>
      </c>
      <c r="B1000" s="4">
        <f t="shared" si="16"/>
        <v>0.68990825688073398</v>
      </c>
      <c r="C1000" s="5">
        <v>54.5</v>
      </c>
      <c r="D1000" s="5">
        <v>37.6</v>
      </c>
      <c r="E1000" s="3" t="s">
        <v>11</v>
      </c>
      <c r="F1000" s="6">
        <v>45894.270138888889</v>
      </c>
    </row>
    <row r="1001" spans="1:6" x14ac:dyDescent="0.3">
      <c r="A1001" s="3">
        <v>1000</v>
      </c>
      <c r="B1001" s="4">
        <f t="shared" si="16"/>
        <v>0.69031141868512114</v>
      </c>
      <c r="C1001" s="5">
        <v>57.8</v>
      </c>
      <c r="D1001" s="5">
        <v>39.9</v>
      </c>
      <c r="E1001" s="3" t="s">
        <v>11</v>
      </c>
      <c r="F1001" s="6">
        <v>45574.469444444447</v>
      </c>
    </row>
    <row r="1002" spans="1:6" x14ac:dyDescent="0.3">
      <c r="A1002" s="3">
        <v>1001</v>
      </c>
      <c r="B1002" s="4">
        <f t="shared" si="16"/>
        <v>0.69117647058823539</v>
      </c>
      <c r="C1002" s="5">
        <v>54.4</v>
      </c>
      <c r="D1002" s="5">
        <v>37.6</v>
      </c>
      <c r="E1002" s="3" t="s">
        <v>7</v>
      </c>
      <c r="F1002" s="6">
        <v>45134.287499999999</v>
      </c>
    </row>
    <row r="1003" spans="1:6" x14ac:dyDescent="0.3">
      <c r="A1003" s="3">
        <v>1002</v>
      </c>
      <c r="B1003" s="4">
        <f t="shared" si="16"/>
        <v>0.69158878504672883</v>
      </c>
      <c r="C1003" s="5">
        <v>74.900000000000006</v>
      </c>
      <c r="D1003" s="5">
        <v>51.8</v>
      </c>
      <c r="E1003" s="3" t="s">
        <v>11</v>
      </c>
      <c r="F1003" s="6">
        <v>46218.263194444437</v>
      </c>
    </row>
    <row r="1004" spans="1:6" x14ac:dyDescent="0.3">
      <c r="A1004" s="3">
        <v>1003</v>
      </c>
      <c r="B1004" s="4">
        <f t="shared" si="16"/>
        <v>0.69169510807736057</v>
      </c>
      <c r="C1004" s="5">
        <v>87.9</v>
      </c>
      <c r="D1004" s="5">
        <v>60.8</v>
      </c>
      <c r="E1004" s="3" t="s">
        <v>7</v>
      </c>
      <c r="F1004" s="6">
        <v>44707.279861111107</v>
      </c>
    </row>
    <row r="1005" spans="1:6" x14ac:dyDescent="0.3">
      <c r="A1005" s="3">
        <v>1004</v>
      </c>
      <c r="B1005" s="4">
        <f t="shared" si="16"/>
        <v>0.69193154034229831</v>
      </c>
      <c r="C1005" s="5">
        <v>122.7</v>
      </c>
      <c r="D1005" s="5">
        <v>84.9</v>
      </c>
      <c r="E1005" s="3" t="s">
        <v>11</v>
      </c>
      <c r="F1005" s="6">
        <v>44945.970138888893</v>
      </c>
    </row>
    <row r="1006" spans="1:6" x14ac:dyDescent="0.3">
      <c r="A1006" s="3">
        <v>1005</v>
      </c>
      <c r="B1006" s="4">
        <f t="shared" si="16"/>
        <v>0.69203849518810145</v>
      </c>
      <c r="C1006" s="5">
        <v>114.3</v>
      </c>
      <c r="D1006" s="5">
        <v>79.099999999999994</v>
      </c>
      <c r="E1006" s="3" t="s">
        <v>7</v>
      </c>
      <c r="F1006" s="6">
        <v>45145.274305555547</v>
      </c>
    </row>
    <row r="1007" spans="1:6" x14ac:dyDescent="0.3">
      <c r="A1007" s="3">
        <v>1006</v>
      </c>
      <c r="B1007" s="4">
        <f t="shared" si="16"/>
        <v>0.69204927211646139</v>
      </c>
      <c r="C1007" s="5">
        <v>178.6</v>
      </c>
      <c r="D1007" s="5">
        <v>123.6</v>
      </c>
      <c r="E1007" s="3" t="s">
        <v>7</v>
      </c>
      <c r="F1007" s="6">
        <v>44643.582638888889</v>
      </c>
    </row>
    <row r="1008" spans="1:6" x14ac:dyDescent="0.3">
      <c r="A1008" s="3">
        <v>1007</v>
      </c>
      <c r="B1008" s="4">
        <f t="shared" si="16"/>
        <v>0.69344042838018738</v>
      </c>
      <c r="C1008" s="5">
        <v>74.7</v>
      </c>
      <c r="D1008" s="5">
        <v>51.8</v>
      </c>
      <c r="E1008" s="3" t="s">
        <v>11</v>
      </c>
      <c r="F1008" s="6">
        <v>45191.586111111108</v>
      </c>
    </row>
    <row r="1009" spans="1:6" x14ac:dyDescent="0.3">
      <c r="A1009" s="3">
        <v>1008</v>
      </c>
      <c r="B1009" s="4">
        <f t="shared" si="16"/>
        <v>0.69489559164733172</v>
      </c>
      <c r="C1009" s="5">
        <v>86.2</v>
      </c>
      <c r="D1009" s="5">
        <v>59.9</v>
      </c>
      <c r="E1009" s="3" t="s">
        <v>7</v>
      </c>
      <c r="F1009" s="6">
        <v>45981.917361111111</v>
      </c>
    </row>
    <row r="1010" spans="1:6" x14ac:dyDescent="0.3">
      <c r="A1010" s="3">
        <v>1009</v>
      </c>
      <c r="B1010" s="4">
        <f t="shared" si="16"/>
        <v>0.69521410579345089</v>
      </c>
      <c r="C1010" s="5">
        <v>119.1</v>
      </c>
      <c r="D1010" s="5">
        <v>82.8</v>
      </c>
      <c r="E1010" s="3" t="s">
        <v>7</v>
      </c>
      <c r="F1010" s="6">
        <v>44971.569444444453</v>
      </c>
    </row>
    <row r="1011" spans="1:6" x14ac:dyDescent="0.3">
      <c r="A1011" s="3">
        <v>1010</v>
      </c>
      <c r="B1011" s="4">
        <f t="shared" si="16"/>
        <v>0.69580022701475597</v>
      </c>
      <c r="C1011" s="5">
        <v>88.1</v>
      </c>
      <c r="D1011" s="5">
        <v>61.3</v>
      </c>
      <c r="E1011" s="3" t="s">
        <v>11</v>
      </c>
      <c r="F1011" s="6">
        <v>44959.670138888891</v>
      </c>
    </row>
    <row r="1012" spans="1:6" x14ac:dyDescent="0.3">
      <c r="A1012" s="3">
        <v>1011</v>
      </c>
      <c r="B1012" s="4">
        <f t="shared" si="16"/>
        <v>0.69582992641046604</v>
      </c>
      <c r="C1012" s="5">
        <v>122.3</v>
      </c>
      <c r="D1012" s="5">
        <v>85.1</v>
      </c>
      <c r="E1012" s="3" t="s">
        <v>11</v>
      </c>
      <c r="F1012" s="6">
        <v>44887.09375</v>
      </c>
    </row>
    <row r="1013" spans="1:6" x14ac:dyDescent="0.3">
      <c r="A1013" s="3">
        <v>1012</v>
      </c>
      <c r="B1013" s="4">
        <f t="shared" si="16"/>
        <v>0.69668246445497639</v>
      </c>
      <c r="C1013" s="5">
        <v>63.3</v>
      </c>
      <c r="D1013" s="5">
        <v>44.1</v>
      </c>
      <c r="E1013" s="3" t="s">
        <v>7</v>
      </c>
      <c r="F1013" s="6">
        <v>45357.068055555559</v>
      </c>
    </row>
    <row r="1014" spans="1:6" x14ac:dyDescent="0.3">
      <c r="A1014" s="3">
        <v>1013</v>
      </c>
      <c r="B1014" s="4">
        <f t="shared" si="16"/>
        <v>0.69699812382739212</v>
      </c>
      <c r="C1014" s="5">
        <v>106.6</v>
      </c>
      <c r="D1014" s="5">
        <v>74.3</v>
      </c>
      <c r="E1014" s="3" t="s">
        <v>7</v>
      </c>
      <c r="F1014" s="6">
        <v>45883.912499999999</v>
      </c>
    </row>
    <row r="1015" spans="1:6" x14ac:dyDescent="0.3">
      <c r="A1015" s="3">
        <v>1014</v>
      </c>
      <c r="B1015" s="4">
        <f t="shared" si="16"/>
        <v>0.69709543568464727</v>
      </c>
      <c r="C1015" s="5">
        <v>120.5</v>
      </c>
      <c r="D1015" s="5">
        <v>84</v>
      </c>
      <c r="E1015" s="3" t="s">
        <v>11</v>
      </c>
      <c r="F1015" s="6">
        <v>44837.363194444442</v>
      </c>
    </row>
    <row r="1016" spans="1:6" x14ac:dyDescent="0.3">
      <c r="A1016" s="3">
        <v>1015</v>
      </c>
      <c r="B1016" s="4">
        <f t="shared" si="16"/>
        <v>0.6973564266180492</v>
      </c>
      <c r="C1016" s="5">
        <v>109.7</v>
      </c>
      <c r="D1016" s="5">
        <v>76.5</v>
      </c>
      <c r="E1016" s="3" t="s">
        <v>7</v>
      </c>
      <c r="F1016" s="6">
        <v>46234.569444444453</v>
      </c>
    </row>
    <row r="1017" spans="1:6" x14ac:dyDescent="0.3">
      <c r="A1017" s="3">
        <v>1016</v>
      </c>
      <c r="B1017" s="4">
        <f t="shared" si="16"/>
        <v>0.69806763285024154</v>
      </c>
      <c r="C1017" s="5">
        <v>82.8</v>
      </c>
      <c r="D1017" s="5">
        <v>57.8</v>
      </c>
      <c r="E1017" s="3" t="s">
        <v>11</v>
      </c>
      <c r="F1017" s="6">
        <v>44971.576388888891</v>
      </c>
    </row>
    <row r="1018" spans="1:6" x14ac:dyDescent="0.3">
      <c r="A1018" s="3">
        <v>1017</v>
      </c>
      <c r="B1018" s="4">
        <f t="shared" si="16"/>
        <v>0.69982547993019206</v>
      </c>
      <c r="C1018" s="5">
        <v>57.3</v>
      </c>
      <c r="D1018" s="5">
        <v>40.1</v>
      </c>
      <c r="E1018" s="3" t="s">
        <v>7</v>
      </c>
      <c r="F1018" s="6">
        <v>44620.204861111109</v>
      </c>
    </row>
    <row r="1019" spans="1:6" x14ac:dyDescent="0.3">
      <c r="A1019" s="3">
        <v>1018</v>
      </c>
      <c r="B1019" s="4">
        <f t="shared" si="16"/>
        <v>0.7</v>
      </c>
      <c r="C1019" s="5">
        <v>57</v>
      </c>
      <c r="D1019" s="5">
        <v>39.9</v>
      </c>
      <c r="E1019" s="3" t="s">
        <v>11</v>
      </c>
      <c r="F1019" s="6">
        <v>46135.619444444441</v>
      </c>
    </row>
    <row r="1020" spans="1:6" x14ac:dyDescent="0.3">
      <c r="A1020" s="3">
        <v>1019</v>
      </c>
      <c r="B1020" s="4">
        <f t="shared" si="16"/>
        <v>0.70019342359767889</v>
      </c>
      <c r="C1020" s="5">
        <v>51.7</v>
      </c>
      <c r="D1020" s="5">
        <v>36.200000000000003</v>
      </c>
      <c r="E1020" s="3" t="s">
        <v>11</v>
      </c>
      <c r="F1020" s="6">
        <v>46007.732638888891</v>
      </c>
    </row>
    <row r="1021" spans="1:6" x14ac:dyDescent="0.3">
      <c r="A1021" s="3">
        <v>1020</v>
      </c>
      <c r="B1021" s="4">
        <f t="shared" si="16"/>
        <v>0.70111731843575409</v>
      </c>
      <c r="C1021" s="5">
        <v>107.4</v>
      </c>
      <c r="D1021" s="5">
        <v>75.3</v>
      </c>
      <c r="E1021" s="3" t="s">
        <v>7</v>
      </c>
      <c r="F1021" s="6">
        <v>44851.447916666657</v>
      </c>
    </row>
    <row r="1022" spans="1:6" x14ac:dyDescent="0.3">
      <c r="A1022" s="3">
        <v>1021</v>
      </c>
      <c r="B1022" s="4">
        <f t="shared" si="16"/>
        <v>0.70138017565872013</v>
      </c>
      <c r="C1022" s="5">
        <v>79.7</v>
      </c>
      <c r="D1022" s="5">
        <v>55.9</v>
      </c>
      <c r="E1022" s="3" t="s">
        <v>11</v>
      </c>
      <c r="F1022" s="6">
        <v>44533.5625</v>
      </c>
    </row>
    <row r="1023" spans="1:6" x14ac:dyDescent="0.3">
      <c r="A1023" s="3">
        <v>1022</v>
      </c>
      <c r="B1023" s="4">
        <f t="shared" si="16"/>
        <v>0.7016197783461211</v>
      </c>
      <c r="C1023" s="5">
        <v>117.3</v>
      </c>
      <c r="D1023" s="5">
        <v>82.3</v>
      </c>
      <c r="E1023" s="3" t="s">
        <v>11</v>
      </c>
      <c r="F1023" s="6">
        <v>44960.455555555563</v>
      </c>
    </row>
    <row r="1024" spans="1:6" x14ac:dyDescent="0.3">
      <c r="A1024" s="3">
        <v>1023</v>
      </c>
      <c r="B1024" s="4">
        <f t="shared" si="16"/>
        <v>0.70229007633587781</v>
      </c>
      <c r="C1024" s="5">
        <v>52.4</v>
      </c>
      <c r="D1024" s="5">
        <v>36.799999999999997</v>
      </c>
      <c r="E1024" s="3" t="s">
        <v>7</v>
      </c>
      <c r="F1024" s="6">
        <v>44923.377083333333</v>
      </c>
    </row>
    <row r="1025" spans="1:6" x14ac:dyDescent="0.3">
      <c r="A1025" s="3">
        <v>1024</v>
      </c>
      <c r="B1025" s="4">
        <f t="shared" si="16"/>
        <v>0.70229007633587792</v>
      </c>
      <c r="C1025" s="5">
        <v>78.599999999999994</v>
      </c>
      <c r="D1025" s="5">
        <v>55.2</v>
      </c>
      <c r="E1025" s="3" t="s">
        <v>11</v>
      </c>
      <c r="F1025" s="6">
        <v>45215.324999999997</v>
      </c>
    </row>
    <row r="1026" spans="1:6" x14ac:dyDescent="0.3">
      <c r="A1026" s="3">
        <v>1025</v>
      </c>
      <c r="B1026" s="4">
        <f t="shared" ref="B1026:B1089" si="17">D1026/C1026</f>
        <v>0.70288248337028825</v>
      </c>
      <c r="C1026" s="5">
        <v>90.2</v>
      </c>
      <c r="D1026" s="5">
        <v>63.4</v>
      </c>
      <c r="E1026" s="3" t="s">
        <v>11</v>
      </c>
      <c r="F1026" s="6">
        <v>45398.527083333327</v>
      </c>
    </row>
    <row r="1027" spans="1:6" x14ac:dyDescent="0.3">
      <c r="A1027" s="3">
        <v>1026</v>
      </c>
      <c r="B1027" s="4">
        <f t="shared" si="17"/>
        <v>0.70312499999999989</v>
      </c>
      <c r="C1027" s="5">
        <v>70.400000000000006</v>
      </c>
      <c r="D1027" s="5">
        <v>49.5</v>
      </c>
      <c r="E1027" s="3" t="s">
        <v>7</v>
      </c>
      <c r="F1027" s="6">
        <v>46049.361805555563</v>
      </c>
    </row>
    <row r="1028" spans="1:6" x14ac:dyDescent="0.3">
      <c r="A1028" s="3">
        <v>1027</v>
      </c>
      <c r="B1028" s="4">
        <f t="shared" si="17"/>
        <v>0.70327552986512532</v>
      </c>
      <c r="C1028" s="5">
        <v>51.9</v>
      </c>
      <c r="D1028" s="5">
        <v>36.5</v>
      </c>
      <c r="E1028" s="3" t="s">
        <v>11</v>
      </c>
      <c r="F1028" s="6">
        <v>44461.0625</v>
      </c>
    </row>
    <row r="1029" spans="1:6" x14ac:dyDescent="0.3">
      <c r="A1029" s="3">
        <v>1028</v>
      </c>
      <c r="B1029" s="4">
        <f t="shared" si="17"/>
        <v>0.70340356564019446</v>
      </c>
      <c r="C1029" s="5">
        <v>61.7</v>
      </c>
      <c r="D1029" s="5">
        <v>43.4</v>
      </c>
      <c r="E1029" s="3" t="s">
        <v>7</v>
      </c>
      <c r="F1029" s="6">
        <v>45594.154166666667</v>
      </c>
    </row>
    <row r="1030" spans="1:6" x14ac:dyDescent="0.3">
      <c r="A1030" s="3">
        <v>1029</v>
      </c>
      <c r="B1030" s="4">
        <f t="shared" si="17"/>
        <v>0.70385126162018596</v>
      </c>
      <c r="C1030" s="5">
        <v>75.3</v>
      </c>
      <c r="D1030" s="5">
        <v>53</v>
      </c>
      <c r="E1030" s="3" t="s">
        <v>7</v>
      </c>
      <c r="F1030" s="6">
        <v>45789.772916666669</v>
      </c>
    </row>
    <row r="1031" spans="1:6" x14ac:dyDescent="0.3">
      <c r="A1031" s="3">
        <v>1030</v>
      </c>
      <c r="B1031" s="4">
        <f t="shared" si="17"/>
        <v>0.70401337792642149</v>
      </c>
      <c r="C1031" s="5">
        <v>119.6</v>
      </c>
      <c r="D1031" s="5">
        <v>84.2</v>
      </c>
      <c r="E1031" s="3" t="s">
        <v>7</v>
      </c>
      <c r="F1031" s="6">
        <v>44871.93472222222</v>
      </c>
    </row>
    <row r="1032" spans="1:6" x14ac:dyDescent="0.3">
      <c r="A1032" s="3">
        <v>1031</v>
      </c>
      <c r="B1032" s="4">
        <f t="shared" si="17"/>
        <v>0.70424710424710424</v>
      </c>
      <c r="C1032" s="5">
        <v>129.5</v>
      </c>
      <c r="D1032" s="5">
        <v>91.2</v>
      </c>
      <c r="E1032" s="3" t="s">
        <v>7</v>
      </c>
      <c r="F1032" s="6">
        <v>44959.45416666667</v>
      </c>
    </row>
    <row r="1033" spans="1:6" x14ac:dyDescent="0.3">
      <c r="A1033" s="3">
        <v>1032</v>
      </c>
      <c r="B1033" s="4">
        <f t="shared" si="17"/>
        <v>0.70447761194029845</v>
      </c>
      <c r="C1033" s="5">
        <v>100.5</v>
      </c>
      <c r="D1033" s="5">
        <v>70.8</v>
      </c>
      <c r="E1033" s="3" t="s">
        <v>11</v>
      </c>
      <c r="F1033" s="6">
        <v>44685.554166666669</v>
      </c>
    </row>
    <row r="1034" spans="1:6" x14ac:dyDescent="0.3">
      <c r="A1034" s="3">
        <v>1033</v>
      </c>
      <c r="B1034" s="4">
        <f t="shared" si="17"/>
        <v>0.70540098199672674</v>
      </c>
      <c r="C1034" s="5">
        <v>61.1</v>
      </c>
      <c r="D1034" s="5">
        <v>43.1</v>
      </c>
      <c r="E1034" s="3" t="s">
        <v>7</v>
      </c>
      <c r="F1034" s="6">
        <v>45133.75</v>
      </c>
    </row>
    <row r="1035" spans="1:6" x14ac:dyDescent="0.3">
      <c r="A1035" s="3">
        <v>1034</v>
      </c>
      <c r="B1035" s="4">
        <f t="shared" si="17"/>
        <v>0.70588235294117652</v>
      </c>
      <c r="C1035" s="5">
        <v>117.3</v>
      </c>
      <c r="D1035" s="5">
        <v>82.8</v>
      </c>
      <c r="E1035" s="3" t="s">
        <v>11</v>
      </c>
      <c r="F1035" s="6">
        <v>44756.657638888893</v>
      </c>
    </row>
    <row r="1036" spans="1:6" x14ac:dyDescent="0.3">
      <c r="A1036" s="3">
        <v>1035</v>
      </c>
      <c r="B1036" s="4">
        <f t="shared" si="17"/>
        <v>0.70717592592592593</v>
      </c>
      <c r="C1036" s="5">
        <v>86.4</v>
      </c>
      <c r="D1036" s="5">
        <v>61.1</v>
      </c>
      <c r="E1036" s="3" t="s">
        <v>11</v>
      </c>
      <c r="F1036" s="6">
        <v>44846.307638888888</v>
      </c>
    </row>
    <row r="1037" spans="1:6" x14ac:dyDescent="0.3">
      <c r="A1037" s="3">
        <v>1036</v>
      </c>
      <c r="B1037" s="4">
        <f t="shared" si="17"/>
        <v>0.70734744707347441</v>
      </c>
      <c r="C1037" s="5">
        <v>80.3</v>
      </c>
      <c r="D1037" s="5">
        <v>56.8</v>
      </c>
      <c r="E1037" s="3" t="s">
        <v>7</v>
      </c>
      <c r="F1037" s="6">
        <v>45541.520833333343</v>
      </c>
    </row>
    <row r="1038" spans="1:6" x14ac:dyDescent="0.3">
      <c r="A1038" s="3">
        <v>1037</v>
      </c>
      <c r="B1038" s="4">
        <f t="shared" si="17"/>
        <v>0.70805812417437253</v>
      </c>
      <c r="C1038" s="5">
        <v>75.7</v>
      </c>
      <c r="D1038" s="5">
        <v>53.6</v>
      </c>
      <c r="E1038" s="3" t="s">
        <v>7</v>
      </c>
      <c r="F1038" s="6">
        <v>45813.883333333331</v>
      </c>
    </row>
    <row r="1039" spans="1:6" x14ac:dyDescent="0.3">
      <c r="A1039" s="3">
        <v>1038</v>
      </c>
      <c r="B1039" s="4">
        <f t="shared" si="17"/>
        <v>0.70811287477954143</v>
      </c>
      <c r="C1039" s="5">
        <v>113.4</v>
      </c>
      <c r="D1039" s="5">
        <v>80.3</v>
      </c>
      <c r="E1039" s="3" t="s">
        <v>11</v>
      </c>
      <c r="F1039" s="6">
        <v>44830.699305555558</v>
      </c>
    </row>
    <row r="1040" spans="1:6" x14ac:dyDescent="0.3">
      <c r="A1040" s="3">
        <v>1039</v>
      </c>
      <c r="B1040" s="4">
        <f t="shared" si="17"/>
        <v>0.7084592145015105</v>
      </c>
      <c r="C1040" s="5">
        <v>66.2</v>
      </c>
      <c r="D1040" s="5">
        <v>46.9</v>
      </c>
      <c r="E1040" s="3" t="s">
        <v>7</v>
      </c>
      <c r="F1040" s="6">
        <v>45443.318055555559</v>
      </c>
    </row>
    <row r="1041" spans="1:6" x14ac:dyDescent="0.3">
      <c r="A1041" s="3">
        <v>1040</v>
      </c>
      <c r="B1041" s="4">
        <f t="shared" si="17"/>
        <v>0.70883720930232563</v>
      </c>
      <c r="C1041" s="5">
        <v>107.5</v>
      </c>
      <c r="D1041" s="5">
        <v>76.2</v>
      </c>
      <c r="E1041" s="3" t="s">
        <v>11</v>
      </c>
      <c r="F1041" s="6">
        <v>45114.259027777778</v>
      </c>
    </row>
    <row r="1042" spans="1:6" x14ac:dyDescent="0.3">
      <c r="A1042" s="3">
        <v>1041</v>
      </c>
      <c r="B1042" s="4">
        <f t="shared" si="17"/>
        <v>0.70905587668593451</v>
      </c>
      <c r="C1042" s="5">
        <v>103.8</v>
      </c>
      <c r="D1042" s="5">
        <v>73.599999999999994</v>
      </c>
      <c r="E1042" s="3" t="s">
        <v>7</v>
      </c>
      <c r="F1042" s="6">
        <v>45772.243750000001</v>
      </c>
    </row>
    <row r="1043" spans="1:6" x14ac:dyDescent="0.3">
      <c r="A1043" s="3">
        <v>1042</v>
      </c>
      <c r="B1043" s="4">
        <f t="shared" si="17"/>
        <v>0.70993589743589736</v>
      </c>
      <c r="C1043" s="5">
        <v>124.8</v>
      </c>
      <c r="D1043" s="5">
        <v>88.6</v>
      </c>
      <c r="E1043" s="3" t="s">
        <v>11</v>
      </c>
      <c r="F1043" s="6">
        <v>45063.711111111108</v>
      </c>
    </row>
    <row r="1044" spans="1:6" x14ac:dyDescent="0.3">
      <c r="A1044" s="3">
        <v>1043</v>
      </c>
      <c r="B1044" s="4">
        <f t="shared" si="17"/>
        <v>0.71001757469244287</v>
      </c>
      <c r="C1044" s="5">
        <v>113.8</v>
      </c>
      <c r="D1044" s="5">
        <v>80.8</v>
      </c>
      <c r="E1044" s="3" t="s">
        <v>7</v>
      </c>
      <c r="F1044" s="6">
        <v>44708.456250000003</v>
      </c>
    </row>
    <row r="1045" spans="1:6" x14ac:dyDescent="0.3">
      <c r="A1045" s="3">
        <v>1044</v>
      </c>
      <c r="B1045" s="4">
        <f t="shared" si="17"/>
        <v>0.71047430830039526</v>
      </c>
      <c r="C1045" s="5">
        <v>101.2</v>
      </c>
      <c r="D1045" s="5">
        <v>71.900000000000006</v>
      </c>
      <c r="E1045" s="3" t="s">
        <v>7</v>
      </c>
      <c r="F1045" s="6">
        <v>46099.601388888892</v>
      </c>
    </row>
    <row r="1046" spans="1:6" x14ac:dyDescent="0.3">
      <c r="A1046" s="3">
        <v>1045</v>
      </c>
      <c r="B1046" s="4">
        <f t="shared" si="17"/>
        <v>0.71056910569105691</v>
      </c>
      <c r="C1046" s="5">
        <v>61.5</v>
      </c>
      <c r="D1046" s="5">
        <v>43.7</v>
      </c>
      <c r="E1046" s="3" t="s">
        <v>7</v>
      </c>
      <c r="F1046" s="6">
        <v>45454.586805555547</v>
      </c>
    </row>
    <row r="1047" spans="1:6" x14ac:dyDescent="0.3">
      <c r="A1047" s="3">
        <v>1046</v>
      </c>
      <c r="B1047" s="4">
        <f t="shared" si="17"/>
        <v>0.71107266435986161</v>
      </c>
      <c r="C1047" s="5">
        <v>57.8</v>
      </c>
      <c r="D1047" s="5">
        <v>41.1</v>
      </c>
      <c r="E1047" s="3" t="s">
        <v>7</v>
      </c>
      <c r="F1047" s="6">
        <v>45692.506249999999</v>
      </c>
    </row>
    <row r="1048" spans="1:6" x14ac:dyDescent="0.3">
      <c r="A1048" s="3">
        <v>1047</v>
      </c>
      <c r="B1048" s="4">
        <f t="shared" si="17"/>
        <v>0.71196172248803835</v>
      </c>
      <c r="C1048" s="5">
        <v>104.5</v>
      </c>
      <c r="D1048" s="5">
        <v>74.400000000000006</v>
      </c>
      <c r="E1048" s="3" t="s">
        <v>7</v>
      </c>
      <c r="F1048" s="6">
        <v>44869.669444444437</v>
      </c>
    </row>
    <row r="1049" spans="1:6" x14ac:dyDescent="0.3">
      <c r="A1049" s="3">
        <v>1048</v>
      </c>
      <c r="B1049" s="4">
        <f t="shared" si="17"/>
        <v>0.71219512195121948</v>
      </c>
      <c r="C1049" s="5">
        <v>82</v>
      </c>
      <c r="D1049" s="5">
        <v>58.4</v>
      </c>
      <c r="E1049" s="3" t="s">
        <v>7</v>
      </c>
      <c r="F1049" s="6">
        <v>45711.917361111111</v>
      </c>
    </row>
    <row r="1050" spans="1:6" x14ac:dyDescent="0.3">
      <c r="A1050" s="3">
        <v>1049</v>
      </c>
      <c r="B1050" s="4">
        <f t="shared" si="17"/>
        <v>0.71226415094339623</v>
      </c>
      <c r="C1050" s="5">
        <v>84.8</v>
      </c>
      <c r="D1050" s="5">
        <v>60.4</v>
      </c>
      <c r="E1050" s="3" t="s">
        <v>7</v>
      </c>
      <c r="F1050" s="6">
        <v>45155.790972222218</v>
      </c>
    </row>
    <row r="1051" spans="1:6" x14ac:dyDescent="0.3">
      <c r="A1051" s="3">
        <v>1050</v>
      </c>
      <c r="B1051" s="4">
        <f t="shared" si="17"/>
        <v>0.71232876712328763</v>
      </c>
      <c r="C1051" s="5">
        <v>51.1</v>
      </c>
      <c r="D1051" s="5">
        <v>36.4</v>
      </c>
      <c r="E1051" s="3" t="s">
        <v>11</v>
      </c>
      <c r="F1051" s="6">
        <v>45585.922222222223</v>
      </c>
    </row>
    <row r="1052" spans="1:6" x14ac:dyDescent="0.3">
      <c r="A1052" s="3">
        <v>1051</v>
      </c>
      <c r="B1052" s="4">
        <f t="shared" si="17"/>
        <v>0.71282633371169124</v>
      </c>
      <c r="C1052" s="5">
        <v>88.1</v>
      </c>
      <c r="D1052" s="5">
        <v>62.8</v>
      </c>
      <c r="E1052" s="3" t="s">
        <v>11</v>
      </c>
      <c r="F1052" s="6">
        <v>44770.561111111107</v>
      </c>
    </row>
    <row r="1053" spans="1:6" x14ac:dyDescent="0.3">
      <c r="A1053" s="3">
        <v>1052</v>
      </c>
      <c r="B1053" s="4">
        <f t="shared" si="17"/>
        <v>0.71283783783783783</v>
      </c>
      <c r="C1053" s="5">
        <v>59.2</v>
      </c>
      <c r="D1053" s="5">
        <v>42.2</v>
      </c>
      <c r="E1053" s="3" t="s">
        <v>11</v>
      </c>
      <c r="F1053" s="6">
        <v>45138.623611111107</v>
      </c>
    </row>
    <row r="1054" spans="1:6" x14ac:dyDescent="0.3">
      <c r="A1054" s="3">
        <v>1053</v>
      </c>
      <c r="B1054" s="4">
        <f t="shared" si="17"/>
        <v>0.71286231884057971</v>
      </c>
      <c r="C1054" s="5">
        <v>110.4</v>
      </c>
      <c r="D1054" s="5">
        <v>78.7</v>
      </c>
      <c r="E1054" s="3" t="s">
        <v>7</v>
      </c>
      <c r="F1054" s="6">
        <v>44750.533333333333</v>
      </c>
    </row>
    <row r="1055" spans="1:6" x14ac:dyDescent="0.3">
      <c r="A1055" s="3">
        <v>1054</v>
      </c>
      <c r="B1055" s="4">
        <f t="shared" si="17"/>
        <v>0.7139461172741679</v>
      </c>
      <c r="C1055" s="5">
        <v>126.2</v>
      </c>
      <c r="D1055" s="5">
        <v>90.1</v>
      </c>
      <c r="E1055" s="3" t="s">
        <v>11</v>
      </c>
      <c r="F1055" s="6">
        <v>44768.625694444447</v>
      </c>
    </row>
    <row r="1056" spans="1:6" x14ac:dyDescent="0.3">
      <c r="A1056" s="3">
        <v>1055</v>
      </c>
      <c r="B1056" s="4">
        <f t="shared" si="17"/>
        <v>0.715034965034965</v>
      </c>
      <c r="C1056" s="5">
        <v>57.2</v>
      </c>
      <c r="D1056" s="5">
        <v>40.9</v>
      </c>
      <c r="E1056" s="3" t="s">
        <v>11</v>
      </c>
      <c r="F1056" s="6">
        <v>46086.061805555553</v>
      </c>
    </row>
    <row r="1057" spans="1:6" x14ac:dyDescent="0.3">
      <c r="A1057" s="3">
        <v>1056</v>
      </c>
      <c r="B1057" s="4">
        <f t="shared" si="17"/>
        <v>0.71548821548821551</v>
      </c>
      <c r="C1057" s="5">
        <v>59.4</v>
      </c>
      <c r="D1057" s="5">
        <v>42.5</v>
      </c>
      <c r="E1057" s="3" t="s">
        <v>11</v>
      </c>
      <c r="F1057" s="6">
        <v>45555.542361111111</v>
      </c>
    </row>
    <row r="1058" spans="1:6" x14ac:dyDescent="0.3">
      <c r="A1058" s="3">
        <v>1057</v>
      </c>
      <c r="B1058" s="4">
        <f t="shared" si="17"/>
        <v>0.71554252199413482</v>
      </c>
      <c r="C1058" s="5">
        <v>68.2</v>
      </c>
      <c r="D1058" s="5">
        <v>48.8</v>
      </c>
      <c r="E1058" s="3" t="s">
        <v>7</v>
      </c>
      <c r="F1058" s="6">
        <v>45637.796527777777</v>
      </c>
    </row>
    <row r="1059" spans="1:6" x14ac:dyDescent="0.3">
      <c r="A1059" s="3">
        <v>1058</v>
      </c>
      <c r="B1059" s="4">
        <f t="shared" si="17"/>
        <v>0.7155555555555555</v>
      </c>
      <c r="C1059" s="5">
        <v>67.5</v>
      </c>
      <c r="D1059" s="5">
        <v>48.3</v>
      </c>
      <c r="E1059" s="3" t="s">
        <v>11</v>
      </c>
      <c r="F1059" s="6">
        <v>45939.119444444441</v>
      </c>
    </row>
    <row r="1060" spans="1:6" x14ac:dyDescent="0.3">
      <c r="A1060" s="3">
        <v>1059</v>
      </c>
      <c r="B1060" s="4">
        <f t="shared" si="17"/>
        <v>0.71557271557271551</v>
      </c>
      <c r="C1060" s="5">
        <v>77.7</v>
      </c>
      <c r="D1060" s="5">
        <v>55.6</v>
      </c>
      <c r="E1060" s="3" t="s">
        <v>7</v>
      </c>
      <c r="F1060" s="6">
        <v>44536.661805555559</v>
      </c>
    </row>
    <row r="1061" spans="1:6" x14ac:dyDescent="0.3">
      <c r="A1061" s="3">
        <v>1060</v>
      </c>
      <c r="B1061" s="4">
        <f t="shared" si="17"/>
        <v>0.7156208277703604</v>
      </c>
      <c r="C1061" s="5">
        <v>74.900000000000006</v>
      </c>
      <c r="D1061" s="5">
        <v>53.6</v>
      </c>
      <c r="E1061" s="3" t="s">
        <v>7</v>
      </c>
      <c r="F1061" s="6">
        <v>44479.915972222218</v>
      </c>
    </row>
    <row r="1062" spans="1:6" x14ac:dyDescent="0.3">
      <c r="A1062" s="3">
        <v>1061</v>
      </c>
      <c r="B1062" s="4">
        <f t="shared" si="17"/>
        <v>0.71575695159629249</v>
      </c>
      <c r="C1062" s="5">
        <v>97.1</v>
      </c>
      <c r="D1062" s="5">
        <v>69.5</v>
      </c>
      <c r="E1062" s="3" t="s">
        <v>7</v>
      </c>
      <c r="F1062" s="6">
        <v>44952.5625</v>
      </c>
    </row>
    <row r="1063" spans="1:6" x14ac:dyDescent="0.3">
      <c r="A1063" s="3">
        <v>1062</v>
      </c>
      <c r="B1063" s="4">
        <f t="shared" si="17"/>
        <v>0.71727172717271725</v>
      </c>
      <c r="C1063" s="5">
        <v>90.9</v>
      </c>
      <c r="D1063" s="5">
        <v>65.2</v>
      </c>
      <c r="E1063" s="3" t="s">
        <v>7</v>
      </c>
      <c r="F1063" s="6">
        <v>44729.40625</v>
      </c>
    </row>
    <row r="1064" spans="1:6" x14ac:dyDescent="0.3">
      <c r="A1064" s="3">
        <v>1063</v>
      </c>
      <c r="B1064" s="4">
        <f t="shared" si="17"/>
        <v>0.71773049645390075</v>
      </c>
      <c r="C1064" s="5">
        <v>70.5</v>
      </c>
      <c r="D1064" s="5">
        <v>50.6</v>
      </c>
      <c r="E1064" s="3" t="s">
        <v>11</v>
      </c>
      <c r="F1064" s="6">
        <v>45588.25</v>
      </c>
    </row>
    <row r="1065" spans="1:6" x14ac:dyDescent="0.3">
      <c r="A1065" s="3">
        <v>1064</v>
      </c>
      <c r="B1065" s="4">
        <f t="shared" si="17"/>
        <v>0.7178899082568807</v>
      </c>
      <c r="C1065" s="5">
        <v>87.2</v>
      </c>
      <c r="D1065" s="5">
        <v>62.6</v>
      </c>
      <c r="E1065" s="3" t="s">
        <v>11</v>
      </c>
      <c r="F1065" s="6">
        <v>44701.557638888888</v>
      </c>
    </row>
    <row r="1066" spans="1:6" x14ac:dyDescent="0.3">
      <c r="A1066" s="3">
        <v>1065</v>
      </c>
      <c r="B1066" s="4">
        <f t="shared" si="17"/>
        <v>0.71837183718371833</v>
      </c>
      <c r="C1066" s="5">
        <v>90.9</v>
      </c>
      <c r="D1066" s="5">
        <v>65.3</v>
      </c>
      <c r="E1066" s="3" t="s">
        <v>11</v>
      </c>
      <c r="F1066" s="6">
        <v>45370.731249999997</v>
      </c>
    </row>
    <row r="1067" spans="1:6" x14ac:dyDescent="0.3">
      <c r="A1067" s="3">
        <v>1066</v>
      </c>
      <c r="B1067" s="4">
        <f t="shared" si="17"/>
        <v>0.71874999999999989</v>
      </c>
      <c r="C1067" s="5">
        <v>51.2</v>
      </c>
      <c r="D1067" s="5">
        <v>36.799999999999997</v>
      </c>
      <c r="E1067" s="3" t="s">
        <v>7</v>
      </c>
      <c r="F1067" s="6">
        <v>45287.372916666667</v>
      </c>
    </row>
    <row r="1068" spans="1:6" x14ac:dyDescent="0.3">
      <c r="A1068" s="3">
        <v>1067</v>
      </c>
      <c r="B1068" s="4">
        <f t="shared" si="17"/>
        <v>0.71894093686354366</v>
      </c>
      <c r="C1068" s="5">
        <v>98.2</v>
      </c>
      <c r="D1068" s="5">
        <v>70.599999999999994</v>
      </c>
      <c r="E1068" s="3" t="s">
        <v>7</v>
      </c>
      <c r="F1068" s="6">
        <v>44936.311805555553</v>
      </c>
    </row>
    <row r="1069" spans="1:6" x14ac:dyDescent="0.3">
      <c r="A1069" s="3">
        <v>1068</v>
      </c>
      <c r="B1069" s="4">
        <f t="shared" si="17"/>
        <v>0.7192982456140351</v>
      </c>
      <c r="C1069" s="5">
        <v>62.7</v>
      </c>
      <c r="D1069" s="5">
        <v>45.1</v>
      </c>
      <c r="E1069" s="3" t="s">
        <v>7</v>
      </c>
      <c r="F1069" s="6">
        <v>45166.386805555558</v>
      </c>
    </row>
    <row r="1070" spans="1:6" x14ac:dyDescent="0.3">
      <c r="A1070" s="3">
        <v>1069</v>
      </c>
      <c r="B1070" s="4">
        <f t="shared" si="17"/>
        <v>0.71971971971971971</v>
      </c>
      <c r="C1070" s="5">
        <v>99.9</v>
      </c>
      <c r="D1070" s="5">
        <v>71.900000000000006</v>
      </c>
      <c r="E1070" s="3" t="s">
        <v>11</v>
      </c>
      <c r="F1070" s="6">
        <v>44811.336805555547</v>
      </c>
    </row>
    <row r="1071" spans="1:6" x14ac:dyDescent="0.3">
      <c r="A1071" s="3">
        <v>1070</v>
      </c>
      <c r="B1071" s="4">
        <f t="shared" si="17"/>
        <v>0.7199471598414795</v>
      </c>
      <c r="C1071" s="5">
        <v>75.7</v>
      </c>
      <c r="D1071" s="5">
        <v>54.5</v>
      </c>
      <c r="E1071" s="3" t="s">
        <v>11</v>
      </c>
      <c r="F1071" s="6">
        <v>45188.515972222223</v>
      </c>
    </row>
    <row r="1072" spans="1:6" x14ac:dyDescent="0.3">
      <c r="A1072" s="3">
        <v>1071</v>
      </c>
      <c r="B1072" s="4">
        <f t="shared" si="17"/>
        <v>0.72</v>
      </c>
      <c r="C1072" s="5">
        <v>75</v>
      </c>
      <c r="D1072" s="5">
        <v>54</v>
      </c>
      <c r="E1072" s="3" t="s">
        <v>11</v>
      </c>
      <c r="F1072" s="6">
        <v>45573.513194444437</v>
      </c>
    </row>
    <row r="1073" spans="1:6" x14ac:dyDescent="0.3">
      <c r="A1073" s="3">
        <v>1072</v>
      </c>
      <c r="B1073" s="4">
        <f t="shared" si="17"/>
        <v>0.7204450625869262</v>
      </c>
      <c r="C1073" s="5">
        <v>71.900000000000006</v>
      </c>
      <c r="D1073" s="5">
        <v>51.8</v>
      </c>
      <c r="E1073" s="3" t="s">
        <v>11</v>
      </c>
      <c r="F1073" s="6">
        <v>44964.26666666667</v>
      </c>
    </row>
    <row r="1074" spans="1:6" x14ac:dyDescent="0.3">
      <c r="A1074" s="3">
        <v>1073</v>
      </c>
      <c r="B1074" s="4">
        <f t="shared" si="17"/>
        <v>0.72106824925816015</v>
      </c>
      <c r="C1074" s="5">
        <v>67.400000000000006</v>
      </c>
      <c r="D1074" s="5">
        <v>48.6</v>
      </c>
      <c r="E1074" s="3" t="s">
        <v>11</v>
      </c>
      <c r="F1074" s="6">
        <v>46156.011805555558</v>
      </c>
    </row>
    <row r="1075" spans="1:6" x14ac:dyDescent="0.3">
      <c r="A1075" s="3">
        <v>1074</v>
      </c>
      <c r="B1075" s="4">
        <f t="shared" si="17"/>
        <v>0.72119815668202769</v>
      </c>
      <c r="C1075" s="5">
        <v>86.8</v>
      </c>
      <c r="D1075" s="5">
        <v>62.6</v>
      </c>
      <c r="E1075" s="3" t="s">
        <v>11</v>
      </c>
      <c r="F1075" s="6">
        <v>44958.619444444441</v>
      </c>
    </row>
    <row r="1076" spans="1:6" x14ac:dyDescent="0.3">
      <c r="A1076" s="3">
        <v>1075</v>
      </c>
      <c r="B1076" s="4">
        <f t="shared" si="17"/>
        <v>0.72168284789644022</v>
      </c>
      <c r="C1076" s="5">
        <v>61.8</v>
      </c>
      <c r="D1076" s="5">
        <v>44.6</v>
      </c>
      <c r="E1076" s="3" t="s">
        <v>7</v>
      </c>
      <c r="F1076" s="6">
        <v>44546.472222222219</v>
      </c>
    </row>
    <row r="1077" spans="1:6" x14ac:dyDescent="0.3">
      <c r="A1077" s="3">
        <v>1076</v>
      </c>
      <c r="B1077" s="4">
        <f t="shared" si="17"/>
        <v>0.72207446808510634</v>
      </c>
      <c r="C1077" s="5">
        <v>75.2</v>
      </c>
      <c r="D1077" s="5">
        <v>54.3</v>
      </c>
      <c r="E1077" s="3" t="s">
        <v>7</v>
      </c>
      <c r="F1077" s="6">
        <v>45720.638888888891</v>
      </c>
    </row>
    <row r="1078" spans="1:6" x14ac:dyDescent="0.3">
      <c r="A1078" s="3">
        <v>1077</v>
      </c>
      <c r="B1078" s="4">
        <f t="shared" si="17"/>
        <v>0.72233009708737872</v>
      </c>
      <c r="C1078" s="5">
        <v>103</v>
      </c>
      <c r="D1078" s="5">
        <v>74.400000000000006</v>
      </c>
      <c r="E1078" s="3" t="s">
        <v>7</v>
      </c>
      <c r="F1078" s="6">
        <v>46162.347916666673</v>
      </c>
    </row>
    <row r="1079" spans="1:6" x14ac:dyDescent="0.3">
      <c r="A1079" s="3">
        <v>1078</v>
      </c>
      <c r="B1079" s="4">
        <f t="shared" si="17"/>
        <v>0.72267759562841527</v>
      </c>
      <c r="C1079" s="5">
        <v>73.2</v>
      </c>
      <c r="D1079" s="5">
        <v>52.9</v>
      </c>
      <c r="E1079" s="3" t="s">
        <v>11</v>
      </c>
      <c r="F1079" s="6">
        <v>45007.811805555553</v>
      </c>
    </row>
    <row r="1080" spans="1:6" x14ac:dyDescent="0.3">
      <c r="A1080" s="3">
        <v>1079</v>
      </c>
      <c r="B1080" s="4">
        <f t="shared" si="17"/>
        <v>0.72280701754385968</v>
      </c>
      <c r="C1080" s="5">
        <v>57</v>
      </c>
      <c r="D1080" s="5">
        <v>41.2</v>
      </c>
      <c r="E1080" s="3" t="s">
        <v>11</v>
      </c>
      <c r="F1080" s="6">
        <v>45817.773611111108</v>
      </c>
    </row>
    <row r="1081" spans="1:6" x14ac:dyDescent="0.3">
      <c r="A1081" s="3">
        <v>1080</v>
      </c>
      <c r="B1081" s="4">
        <f t="shared" si="17"/>
        <v>0.72385428907168048</v>
      </c>
      <c r="C1081" s="5">
        <v>85.1</v>
      </c>
      <c r="D1081" s="5">
        <v>61.6</v>
      </c>
      <c r="E1081" s="3" t="s">
        <v>11</v>
      </c>
      <c r="F1081" s="6">
        <v>45779.24722222222</v>
      </c>
    </row>
    <row r="1082" spans="1:6" x14ac:dyDescent="0.3">
      <c r="A1082" s="3">
        <v>1081</v>
      </c>
      <c r="B1082" s="4">
        <f t="shared" si="17"/>
        <v>0.72399999999999998</v>
      </c>
      <c r="C1082" s="5">
        <v>75</v>
      </c>
      <c r="D1082" s="5">
        <v>54.3</v>
      </c>
      <c r="E1082" s="3" t="s">
        <v>11</v>
      </c>
      <c r="F1082" s="6">
        <v>44858.540972222218</v>
      </c>
    </row>
    <row r="1083" spans="1:6" x14ac:dyDescent="0.3">
      <c r="A1083" s="3">
        <v>1082</v>
      </c>
      <c r="B1083" s="4">
        <f t="shared" si="17"/>
        <v>0.72410203019260799</v>
      </c>
      <c r="C1083" s="5">
        <v>192.1</v>
      </c>
      <c r="D1083" s="5">
        <v>139.1</v>
      </c>
      <c r="E1083" s="3" t="s">
        <v>11</v>
      </c>
      <c r="F1083" s="6">
        <v>45646.726388888892</v>
      </c>
    </row>
    <row r="1084" spans="1:6" x14ac:dyDescent="0.3">
      <c r="A1084" s="3">
        <v>1083</v>
      </c>
      <c r="B1084" s="4">
        <f t="shared" si="17"/>
        <v>0.7243436754176612</v>
      </c>
      <c r="C1084" s="5">
        <v>83.8</v>
      </c>
      <c r="D1084" s="5">
        <v>60.7</v>
      </c>
      <c r="E1084" s="3" t="s">
        <v>7</v>
      </c>
      <c r="F1084" s="6">
        <v>45413.835416666669</v>
      </c>
    </row>
    <row r="1085" spans="1:6" x14ac:dyDescent="0.3">
      <c r="A1085" s="3">
        <v>1084</v>
      </c>
      <c r="B1085" s="4">
        <f t="shared" si="17"/>
        <v>0.72459499263622973</v>
      </c>
      <c r="C1085" s="5">
        <v>67.900000000000006</v>
      </c>
      <c r="D1085" s="5">
        <v>49.2</v>
      </c>
      <c r="E1085" s="3" t="s">
        <v>11</v>
      </c>
      <c r="F1085" s="6">
        <v>44999.787499999999</v>
      </c>
    </row>
    <row r="1086" spans="1:6" x14ac:dyDescent="0.3">
      <c r="A1086" s="3">
        <v>1085</v>
      </c>
      <c r="B1086" s="4">
        <f t="shared" si="17"/>
        <v>0.72489683631361757</v>
      </c>
      <c r="C1086" s="5">
        <v>145.4</v>
      </c>
      <c r="D1086" s="5">
        <v>105.4</v>
      </c>
      <c r="E1086" s="3" t="s">
        <v>7</v>
      </c>
      <c r="F1086" s="6">
        <v>44690.62222222222</v>
      </c>
    </row>
    <row r="1087" spans="1:6" x14ac:dyDescent="0.3">
      <c r="A1087" s="3">
        <v>1086</v>
      </c>
      <c r="B1087" s="4">
        <f t="shared" si="17"/>
        <v>0.72504708097928439</v>
      </c>
      <c r="C1087" s="5">
        <v>53.1</v>
      </c>
      <c r="D1087" s="5">
        <v>38.5</v>
      </c>
      <c r="E1087" s="3" t="s">
        <v>7</v>
      </c>
      <c r="F1087" s="6">
        <v>45618.519444444442</v>
      </c>
    </row>
    <row r="1088" spans="1:6" x14ac:dyDescent="0.3">
      <c r="A1088" s="3">
        <v>1087</v>
      </c>
      <c r="B1088" s="4">
        <f t="shared" si="17"/>
        <v>0.72544080604534</v>
      </c>
      <c r="C1088" s="5">
        <v>79.400000000000006</v>
      </c>
      <c r="D1088" s="5">
        <v>57.6</v>
      </c>
      <c r="E1088" s="3" t="s">
        <v>7</v>
      </c>
      <c r="F1088" s="6">
        <v>44932.567361111112</v>
      </c>
    </row>
    <row r="1089" spans="1:6" x14ac:dyDescent="0.3">
      <c r="A1089" s="3">
        <v>1088</v>
      </c>
      <c r="B1089" s="4">
        <f t="shared" si="17"/>
        <v>0.7255216693418941</v>
      </c>
      <c r="C1089" s="5">
        <v>62.3</v>
      </c>
      <c r="D1089" s="5">
        <v>45.2</v>
      </c>
      <c r="E1089" s="3" t="s">
        <v>11</v>
      </c>
      <c r="F1089" s="6">
        <v>45932.372916666667</v>
      </c>
    </row>
    <row r="1090" spans="1:6" x14ac:dyDescent="0.3">
      <c r="A1090" s="3">
        <v>1089</v>
      </c>
      <c r="B1090" s="4">
        <f t="shared" ref="B1090:B1153" si="18">D1090/C1090</f>
        <v>0.72571428571428576</v>
      </c>
      <c r="C1090" s="5">
        <v>52.5</v>
      </c>
      <c r="D1090" s="5">
        <v>38.1</v>
      </c>
      <c r="E1090" s="3" t="s">
        <v>7</v>
      </c>
      <c r="F1090" s="6">
        <v>44606.713194444441</v>
      </c>
    </row>
    <row r="1091" spans="1:6" x14ac:dyDescent="0.3">
      <c r="A1091" s="3">
        <v>1090</v>
      </c>
      <c r="B1091" s="4">
        <f t="shared" si="18"/>
        <v>0.72593235039028625</v>
      </c>
      <c r="C1091" s="5">
        <v>115.3</v>
      </c>
      <c r="D1091" s="5">
        <v>83.7</v>
      </c>
      <c r="E1091" s="3" t="s">
        <v>7</v>
      </c>
      <c r="F1091" s="6">
        <v>45552.716666666667</v>
      </c>
    </row>
    <row r="1092" spans="1:6" x14ac:dyDescent="0.3">
      <c r="A1092" s="3">
        <v>1091</v>
      </c>
      <c r="B1092" s="4">
        <f t="shared" si="18"/>
        <v>0.72657743785850859</v>
      </c>
      <c r="C1092" s="5">
        <v>52.3</v>
      </c>
      <c r="D1092" s="5">
        <v>38</v>
      </c>
      <c r="E1092" s="3" t="s">
        <v>11</v>
      </c>
      <c r="F1092" s="6">
        <v>44775.027777777781</v>
      </c>
    </row>
    <row r="1093" spans="1:6" x14ac:dyDescent="0.3">
      <c r="A1093" s="3">
        <v>1092</v>
      </c>
      <c r="B1093" s="4">
        <f t="shared" si="18"/>
        <v>0.72690763052208829</v>
      </c>
      <c r="C1093" s="5">
        <v>74.7</v>
      </c>
      <c r="D1093" s="5">
        <v>54.3</v>
      </c>
      <c r="E1093" s="3" t="s">
        <v>11</v>
      </c>
      <c r="F1093" s="6">
        <v>45447.743055555547</v>
      </c>
    </row>
    <row r="1094" spans="1:6" x14ac:dyDescent="0.3">
      <c r="A1094" s="3">
        <v>1093</v>
      </c>
      <c r="B1094" s="4">
        <f t="shared" si="18"/>
        <v>0.72773109243697476</v>
      </c>
      <c r="C1094" s="5">
        <v>59.5</v>
      </c>
      <c r="D1094" s="5">
        <v>43.3</v>
      </c>
      <c r="E1094" s="3" t="s">
        <v>7</v>
      </c>
      <c r="F1094" s="6">
        <v>45974.295138888891</v>
      </c>
    </row>
    <row r="1095" spans="1:6" x14ac:dyDescent="0.3">
      <c r="A1095" s="3">
        <v>1094</v>
      </c>
      <c r="B1095" s="4">
        <f t="shared" si="18"/>
        <v>0.72871572871572876</v>
      </c>
      <c r="C1095" s="5">
        <v>69.3</v>
      </c>
      <c r="D1095" s="5">
        <v>50.5</v>
      </c>
      <c r="E1095" s="3" t="s">
        <v>7</v>
      </c>
      <c r="F1095" s="6">
        <v>44847.602083333331</v>
      </c>
    </row>
    <row r="1096" spans="1:6" x14ac:dyDescent="0.3">
      <c r="A1096" s="3">
        <v>1095</v>
      </c>
      <c r="B1096" s="4">
        <f t="shared" si="18"/>
        <v>0.72907488986784141</v>
      </c>
      <c r="C1096" s="5">
        <v>90.8</v>
      </c>
      <c r="D1096" s="5">
        <v>66.2</v>
      </c>
      <c r="E1096" s="3" t="s">
        <v>11</v>
      </c>
      <c r="F1096" s="6">
        <v>45442.648611111108</v>
      </c>
    </row>
    <row r="1097" spans="1:6" x14ac:dyDescent="0.3">
      <c r="A1097" s="3">
        <v>1096</v>
      </c>
      <c r="B1097" s="4">
        <f t="shared" si="18"/>
        <v>0.72958057395143483</v>
      </c>
      <c r="C1097" s="5">
        <v>90.6</v>
      </c>
      <c r="D1097" s="5">
        <v>66.099999999999994</v>
      </c>
      <c r="E1097" s="3" t="s">
        <v>7</v>
      </c>
      <c r="F1097" s="6">
        <v>44852.64166666667</v>
      </c>
    </row>
    <row r="1098" spans="1:6" x14ac:dyDescent="0.3">
      <c r="A1098" s="3">
        <v>1097</v>
      </c>
      <c r="B1098" s="4">
        <f t="shared" si="18"/>
        <v>0.72988505747126442</v>
      </c>
      <c r="C1098" s="5">
        <v>69.599999999999994</v>
      </c>
      <c r="D1098" s="5">
        <v>50.8</v>
      </c>
      <c r="E1098" s="3" t="s">
        <v>11</v>
      </c>
      <c r="F1098" s="6">
        <v>45021.583333333343</v>
      </c>
    </row>
    <row r="1099" spans="1:6" x14ac:dyDescent="0.3">
      <c r="A1099" s="3">
        <v>1098</v>
      </c>
      <c r="B1099" s="4">
        <f t="shared" si="18"/>
        <v>0.73091364205256559</v>
      </c>
      <c r="C1099" s="5">
        <v>79.900000000000006</v>
      </c>
      <c r="D1099" s="5">
        <v>58.4</v>
      </c>
      <c r="E1099" s="3" t="s">
        <v>7</v>
      </c>
      <c r="F1099" s="6">
        <v>44841.009027777778</v>
      </c>
    </row>
    <row r="1100" spans="1:6" x14ac:dyDescent="0.3">
      <c r="A1100" s="3">
        <v>1099</v>
      </c>
      <c r="B1100" s="4">
        <f t="shared" si="18"/>
        <v>0.73098591549295777</v>
      </c>
      <c r="C1100" s="5">
        <v>71</v>
      </c>
      <c r="D1100" s="5">
        <v>51.9</v>
      </c>
      <c r="E1100" s="3" t="s">
        <v>11</v>
      </c>
      <c r="F1100" s="6">
        <v>45747.29583333333</v>
      </c>
    </row>
    <row r="1101" spans="1:6" x14ac:dyDescent="0.3">
      <c r="A1101" s="3">
        <v>1100</v>
      </c>
      <c r="B1101" s="4">
        <f t="shared" si="18"/>
        <v>0.73128342245989308</v>
      </c>
      <c r="C1101" s="5">
        <v>74.8</v>
      </c>
      <c r="D1101" s="5">
        <v>54.7</v>
      </c>
      <c r="E1101" s="3" t="s">
        <v>11</v>
      </c>
      <c r="F1101" s="6">
        <v>46058.566666666673</v>
      </c>
    </row>
    <row r="1102" spans="1:6" x14ac:dyDescent="0.3">
      <c r="A1102" s="3">
        <v>1101</v>
      </c>
      <c r="B1102" s="4">
        <f t="shared" si="18"/>
        <v>0.73170731707317072</v>
      </c>
      <c r="C1102" s="5">
        <v>106.6</v>
      </c>
      <c r="D1102" s="5">
        <v>78</v>
      </c>
      <c r="E1102" s="3" t="s">
        <v>11</v>
      </c>
      <c r="F1102" s="6">
        <v>44916.571527777778</v>
      </c>
    </row>
    <row r="1103" spans="1:6" x14ac:dyDescent="0.3">
      <c r="A1103" s="3">
        <v>1102</v>
      </c>
      <c r="B1103" s="4">
        <f t="shared" si="18"/>
        <v>0.73216689098250343</v>
      </c>
      <c r="C1103" s="5">
        <v>74.3</v>
      </c>
      <c r="D1103" s="5">
        <v>54.4</v>
      </c>
      <c r="E1103" s="3" t="s">
        <v>11</v>
      </c>
      <c r="F1103" s="6">
        <v>45884.576388888891</v>
      </c>
    </row>
    <row r="1104" spans="1:6" x14ac:dyDescent="0.3">
      <c r="A1104" s="3">
        <v>1103</v>
      </c>
      <c r="B1104" s="4">
        <f t="shared" si="18"/>
        <v>0.73252562907735319</v>
      </c>
      <c r="C1104" s="5">
        <v>107.3</v>
      </c>
      <c r="D1104" s="5">
        <v>78.599999999999994</v>
      </c>
      <c r="E1104" s="3" t="s">
        <v>11</v>
      </c>
      <c r="F1104" s="6">
        <v>45960.208333333343</v>
      </c>
    </row>
    <row r="1105" spans="1:6" x14ac:dyDescent="0.3">
      <c r="A1105" s="3">
        <v>1104</v>
      </c>
      <c r="B1105" s="4">
        <f t="shared" si="18"/>
        <v>0.73277074542897336</v>
      </c>
      <c r="C1105" s="5">
        <v>71.099999999999994</v>
      </c>
      <c r="D1105" s="5">
        <v>52.1</v>
      </c>
      <c r="E1105" s="3" t="s">
        <v>11</v>
      </c>
      <c r="F1105" s="6">
        <v>46177.5</v>
      </c>
    </row>
    <row r="1106" spans="1:6" x14ac:dyDescent="0.3">
      <c r="A1106" s="3">
        <v>1105</v>
      </c>
      <c r="B1106" s="4">
        <f t="shared" si="18"/>
        <v>0.7329591018444267</v>
      </c>
      <c r="C1106" s="5">
        <v>124.7</v>
      </c>
      <c r="D1106" s="5">
        <v>91.4</v>
      </c>
      <c r="E1106" s="3" t="s">
        <v>7</v>
      </c>
      <c r="F1106" s="6">
        <v>44489.499305555553</v>
      </c>
    </row>
    <row r="1107" spans="1:6" x14ac:dyDescent="0.3">
      <c r="A1107" s="3">
        <v>1106</v>
      </c>
      <c r="B1107" s="4">
        <f t="shared" si="18"/>
        <v>0.73382820784729597</v>
      </c>
      <c r="C1107" s="5">
        <v>94.3</v>
      </c>
      <c r="D1107" s="5">
        <v>69.2</v>
      </c>
      <c r="E1107" s="3" t="s">
        <v>7</v>
      </c>
      <c r="F1107" s="6">
        <v>45016.359027777777</v>
      </c>
    </row>
    <row r="1108" spans="1:6" x14ac:dyDescent="0.3">
      <c r="A1108" s="3">
        <v>1107</v>
      </c>
      <c r="B1108" s="4">
        <f t="shared" si="18"/>
        <v>0.73426573426573427</v>
      </c>
      <c r="C1108" s="5">
        <v>71.5</v>
      </c>
      <c r="D1108" s="5">
        <v>52.5</v>
      </c>
      <c r="E1108" s="3" t="s">
        <v>7</v>
      </c>
      <c r="F1108" s="6">
        <v>45755.637499999997</v>
      </c>
    </row>
    <row r="1109" spans="1:6" x14ac:dyDescent="0.3">
      <c r="A1109" s="3">
        <v>1108</v>
      </c>
      <c r="B1109" s="4">
        <f t="shared" si="18"/>
        <v>0.73430656934306571</v>
      </c>
      <c r="C1109" s="5">
        <v>68.5</v>
      </c>
      <c r="D1109" s="5">
        <v>50.3</v>
      </c>
      <c r="E1109" s="3" t="s">
        <v>11</v>
      </c>
      <c r="F1109" s="6">
        <v>46080.851388888892</v>
      </c>
    </row>
    <row r="1110" spans="1:6" x14ac:dyDescent="0.3">
      <c r="A1110" s="3">
        <v>1109</v>
      </c>
      <c r="B1110" s="4">
        <f t="shared" si="18"/>
        <v>0.73443223443223449</v>
      </c>
      <c r="C1110" s="5">
        <v>109.2</v>
      </c>
      <c r="D1110" s="5">
        <v>80.2</v>
      </c>
      <c r="E1110" s="3" t="s">
        <v>11</v>
      </c>
      <c r="F1110" s="6">
        <v>45672.291666666657</v>
      </c>
    </row>
    <row r="1111" spans="1:6" x14ac:dyDescent="0.3">
      <c r="A1111" s="3">
        <v>1110</v>
      </c>
      <c r="B1111" s="4">
        <f t="shared" si="18"/>
        <v>0.73449920508744049</v>
      </c>
      <c r="C1111" s="5">
        <v>62.9</v>
      </c>
      <c r="D1111" s="5">
        <v>46.2</v>
      </c>
      <c r="E1111" s="3" t="s">
        <v>7</v>
      </c>
      <c r="F1111" s="6">
        <v>44540.458333333343</v>
      </c>
    </row>
    <row r="1112" spans="1:6" x14ac:dyDescent="0.3">
      <c r="A1112" s="3">
        <v>1111</v>
      </c>
      <c r="B1112" s="4">
        <f t="shared" si="18"/>
        <v>0.73450134770889486</v>
      </c>
      <c r="C1112" s="5">
        <v>74.2</v>
      </c>
      <c r="D1112" s="5">
        <v>54.5</v>
      </c>
      <c r="E1112" s="3" t="s">
        <v>11</v>
      </c>
      <c r="F1112" s="6">
        <v>45022.698611111111</v>
      </c>
    </row>
    <row r="1113" spans="1:6" x14ac:dyDescent="0.3">
      <c r="A1113" s="3">
        <v>1112</v>
      </c>
      <c r="B1113" s="4">
        <f t="shared" si="18"/>
        <v>0.73456221198156679</v>
      </c>
      <c r="C1113" s="5">
        <v>108.5</v>
      </c>
      <c r="D1113" s="5">
        <v>79.7</v>
      </c>
      <c r="E1113" s="3" t="s">
        <v>11</v>
      </c>
      <c r="F1113" s="6">
        <v>44852.191666666673</v>
      </c>
    </row>
    <row r="1114" spans="1:6" x14ac:dyDescent="0.3">
      <c r="A1114" s="3">
        <v>1113</v>
      </c>
      <c r="B1114" s="4">
        <f t="shared" si="18"/>
        <v>0.73473684210526313</v>
      </c>
      <c r="C1114" s="5">
        <v>95</v>
      </c>
      <c r="D1114" s="5">
        <v>69.8</v>
      </c>
      <c r="E1114" s="3" t="s">
        <v>7</v>
      </c>
      <c r="F1114" s="6">
        <v>46009.5</v>
      </c>
    </row>
    <row r="1115" spans="1:6" x14ac:dyDescent="0.3">
      <c r="A1115" s="3">
        <v>1114</v>
      </c>
      <c r="B1115" s="4">
        <f t="shared" si="18"/>
        <v>0.73480662983425415</v>
      </c>
      <c r="C1115" s="5">
        <v>162.9</v>
      </c>
      <c r="D1115" s="5">
        <v>119.7</v>
      </c>
      <c r="E1115" s="3" t="s">
        <v>11</v>
      </c>
      <c r="F1115" s="6">
        <v>44902.584027777782</v>
      </c>
    </row>
    <row r="1116" spans="1:6" x14ac:dyDescent="0.3">
      <c r="A1116" s="3">
        <v>1115</v>
      </c>
      <c r="B1116" s="4">
        <f t="shared" si="18"/>
        <v>0.73486786018755335</v>
      </c>
      <c r="C1116" s="5">
        <v>117.3</v>
      </c>
      <c r="D1116" s="5">
        <v>86.2</v>
      </c>
      <c r="E1116" s="3" t="s">
        <v>7</v>
      </c>
      <c r="F1116" s="6">
        <v>44720.378472222219</v>
      </c>
    </row>
    <row r="1117" spans="1:6" x14ac:dyDescent="0.3">
      <c r="A1117" s="3">
        <v>1116</v>
      </c>
      <c r="B1117" s="4">
        <f t="shared" si="18"/>
        <v>0.73505059797608097</v>
      </c>
      <c r="C1117" s="5">
        <v>108.7</v>
      </c>
      <c r="D1117" s="5">
        <v>79.900000000000006</v>
      </c>
      <c r="E1117" s="3" t="s">
        <v>11</v>
      </c>
      <c r="F1117" s="6">
        <v>44986.713194444441</v>
      </c>
    </row>
    <row r="1118" spans="1:6" x14ac:dyDescent="0.3">
      <c r="A1118" s="3">
        <v>1117</v>
      </c>
      <c r="B1118" s="4">
        <f t="shared" si="18"/>
        <v>0.7350928641251222</v>
      </c>
      <c r="C1118" s="5">
        <v>102.3</v>
      </c>
      <c r="D1118" s="5">
        <v>75.2</v>
      </c>
      <c r="E1118" s="3" t="s">
        <v>11</v>
      </c>
      <c r="F1118" s="6">
        <v>45000.794444444437</v>
      </c>
    </row>
    <row r="1119" spans="1:6" x14ac:dyDescent="0.3">
      <c r="A1119" s="3">
        <v>1118</v>
      </c>
      <c r="B1119" s="4">
        <f t="shared" si="18"/>
        <v>0.73541383989145181</v>
      </c>
      <c r="C1119" s="5">
        <v>73.7</v>
      </c>
      <c r="D1119" s="5">
        <v>54.2</v>
      </c>
      <c r="E1119" s="3" t="s">
        <v>11</v>
      </c>
      <c r="F1119" s="6">
        <v>45022.310416666667</v>
      </c>
    </row>
    <row r="1120" spans="1:6" x14ac:dyDescent="0.3">
      <c r="A1120" s="3">
        <v>1119</v>
      </c>
      <c r="B1120" s="4">
        <f t="shared" si="18"/>
        <v>0.7354709418837676</v>
      </c>
      <c r="C1120" s="5">
        <v>99.8</v>
      </c>
      <c r="D1120" s="5">
        <v>73.400000000000006</v>
      </c>
      <c r="E1120" s="3" t="s">
        <v>11</v>
      </c>
      <c r="F1120" s="6">
        <v>44868.63958333333</v>
      </c>
    </row>
    <row r="1121" spans="1:6" x14ac:dyDescent="0.3">
      <c r="A1121" s="3">
        <v>1120</v>
      </c>
      <c r="B1121" s="4">
        <f t="shared" si="18"/>
        <v>0.73583180987202923</v>
      </c>
      <c r="C1121" s="5">
        <v>109.4</v>
      </c>
      <c r="D1121" s="5">
        <v>80.5</v>
      </c>
      <c r="E1121" s="3" t="s">
        <v>11</v>
      </c>
      <c r="F1121" s="6">
        <v>45818.584027777782</v>
      </c>
    </row>
    <row r="1122" spans="1:6" x14ac:dyDescent="0.3">
      <c r="A1122" s="3">
        <v>1121</v>
      </c>
      <c r="B1122" s="4">
        <f t="shared" si="18"/>
        <v>0.73614190687361425</v>
      </c>
      <c r="C1122" s="5">
        <v>90.2</v>
      </c>
      <c r="D1122" s="5">
        <v>66.400000000000006</v>
      </c>
      <c r="E1122" s="3" t="s">
        <v>7</v>
      </c>
      <c r="F1122" s="6">
        <v>45701.779861111107</v>
      </c>
    </row>
    <row r="1123" spans="1:6" x14ac:dyDescent="0.3">
      <c r="A1123" s="3">
        <v>1122</v>
      </c>
      <c r="B1123" s="4">
        <f t="shared" si="18"/>
        <v>0.73643410852713176</v>
      </c>
      <c r="C1123" s="5">
        <v>77.400000000000006</v>
      </c>
      <c r="D1123" s="5">
        <v>57</v>
      </c>
      <c r="E1123" s="3" t="s">
        <v>7</v>
      </c>
      <c r="F1123" s="6">
        <v>44517.427777777782</v>
      </c>
    </row>
    <row r="1124" spans="1:6" x14ac:dyDescent="0.3">
      <c r="A1124" s="3">
        <v>1123</v>
      </c>
      <c r="B1124" s="4">
        <f t="shared" si="18"/>
        <v>0.73757763975155277</v>
      </c>
      <c r="C1124" s="5">
        <v>128.80000000000001</v>
      </c>
      <c r="D1124" s="5">
        <v>95</v>
      </c>
      <c r="E1124" s="3" t="s">
        <v>11</v>
      </c>
      <c r="F1124" s="6">
        <v>46008.668055555558</v>
      </c>
    </row>
    <row r="1125" spans="1:6" x14ac:dyDescent="0.3">
      <c r="A1125" s="3">
        <v>1124</v>
      </c>
      <c r="B1125" s="4">
        <f t="shared" si="18"/>
        <v>0.73761713520749661</v>
      </c>
      <c r="C1125" s="5">
        <v>149.4</v>
      </c>
      <c r="D1125" s="5">
        <v>110.2</v>
      </c>
      <c r="E1125" s="3" t="s">
        <v>11</v>
      </c>
      <c r="F1125" s="6">
        <v>44777.791666666657</v>
      </c>
    </row>
    <row r="1126" spans="1:6" x14ac:dyDescent="0.3">
      <c r="A1126" s="3">
        <v>1125</v>
      </c>
      <c r="B1126" s="4">
        <f t="shared" si="18"/>
        <v>0.73796192609182543</v>
      </c>
      <c r="C1126" s="5">
        <v>89.3</v>
      </c>
      <c r="D1126" s="5">
        <v>65.900000000000006</v>
      </c>
      <c r="E1126" s="3" t="s">
        <v>7</v>
      </c>
      <c r="F1126" s="6">
        <v>45343.378472222219</v>
      </c>
    </row>
    <row r="1127" spans="1:6" x14ac:dyDescent="0.3">
      <c r="A1127" s="3">
        <v>1126</v>
      </c>
      <c r="B1127" s="4">
        <f t="shared" si="18"/>
        <v>0.7385159010600707</v>
      </c>
      <c r="C1127" s="5">
        <v>84.9</v>
      </c>
      <c r="D1127" s="5">
        <v>62.7</v>
      </c>
      <c r="E1127" s="3" t="s">
        <v>7</v>
      </c>
      <c r="F1127" s="6">
        <v>44946.579861111109</v>
      </c>
    </row>
    <row r="1128" spans="1:6" x14ac:dyDescent="0.3">
      <c r="A1128" s="3">
        <v>1127</v>
      </c>
      <c r="B1128" s="4">
        <f t="shared" si="18"/>
        <v>0.73864430468204056</v>
      </c>
      <c r="C1128" s="5">
        <v>143.1</v>
      </c>
      <c r="D1128" s="5">
        <v>105.7</v>
      </c>
      <c r="E1128" s="3" t="s">
        <v>11</v>
      </c>
      <c r="F1128" s="6">
        <v>44469.638194444437</v>
      </c>
    </row>
    <row r="1129" spans="1:6" x14ac:dyDescent="0.3">
      <c r="A1129" s="3">
        <v>1128</v>
      </c>
      <c r="B1129" s="4">
        <f t="shared" si="18"/>
        <v>0.73907103825136611</v>
      </c>
      <c r="C1129" s="5">
        <v>73.2</v>
      </c>
      <c r="D1129" s="5">
        <v>54.1</v>
      </c>
      <c r="E1129" s="3" t="s">
        <v>7</v>
      </c>
      <c r="F1129" s="6">
        <v>45441.177083333343</v>
      </c>
    </row>
    <row r="1130" spans="1:6" x14ac:dyDescent="0.3">
      <c r="A1130" s="3">
        <v>1129</v>
      </c>
      <c r="B1130" s="4">
        <f t="shared" si="18"/>
        <v>0.73928258967629046</v>
      </c>
      <c r="C1130" s="5">
        <v>114.3</v>
      </c>
      <c r="D1130" s="5">
        <v>84.5</v>
      </c>
      <c r="E1130" s="3" t="s">
        <v>7</v>
      </c>
      <c r="F1130" s="6">
        <v>45898.507638888892</v>
      </c>
    </row>
    <row r="1131" spans="1:6" x14ac:dyDescent="0.3">
      <c r="A1131" s="3">
        <v>1130</v>
      </c>
      <c r="B1131" s="4">
        <f t="shared" si="18"/>
        <v>0.73969072164948457</v>
      </c>
      <c r="C1131" s="5">
        <v>77.599999999999994</v>
      </c>
      <c r="D1131" s="5">
        <v>57.4</v>
      </c>
      <c r="E1131" s="3" t="s">
        <v>7</v>
      </c>
      <c r="F1131" s="6">
        <v>46195.345138888893</v>
      </c>
    </row>
    <row r="1132" spans="1:6" x14ac:dyDescent="0.3">
      <c r="A1132" s="3">
        <v>1131</v>
      </c>
      <c r="B1132" s="4">
        <f t="shared" si="18"/>
        <v>0.74011857707509887</v>
      </c>
      <c r="C1132" s="5">
        <v>101.2</v>
      </c>
      <c r="D1132" s="5">
        <v>74.900000000000006</v>
      </c>
      <c r="E1132" s="3" t="s">
        <v>7</v>
      </c>
      <c r="F1132" s="6">
        <v>46217.72152777778</v>
      </c>
    </row>
    <row r="1133" spans="1:6" x14ac:dyDescent="0.3">
      <c r="A1133" s="3">
        <v>1132</v>
      </c>
      <c r="B1133" s="4">
        <f t="shared" si="18"/>
        <v>0.74012158054711252</v>
      </c>
      <c r="C1133" s="5">
        <v>65.8</v>
      </c>
      <c r="D1133" s="5">
        <v>48.7</v>
      </c>
      <c r="E1133" s="3" t="s">
        <v>11</v>
      </c>
      <c r="F1133" s="6">
        <v>45560.54583333333</v>
      </c>
    </row>
    <row r="1134" spans="1:6" x14ac:dyDescent="0.3">
      <c r="A1134" s="3">
        <v>1133</v>
      </c>
      <c r="B1134" s="4">
        <f t="shared" si="18"/>
        <v>0.74013157894736847</v>
      </c>
      <c r="C1134" s="5">
        <v>152</v>
      </c>
      <c r="D1134" s="5">
        <v>112.5</v>
      </c>
      <c r="E1134" s="3" t="s">
        <v>7</v>
      </c>
      <c r="F1134" s="6">
        <v>45672.689583333333</v>
      </c>
    </row>
    <row r="1135" spans="1:6" x14ac:dyDescent="0.3">
      <c r="A1135" s="3">
        <v>1134</v>
      </c>
      <c r="B1135" s="4">
        <f t="shared" si="18"/>
        <v>0.74098671726755205</v>
      </c>
      <c r="C1135" s="5">
        <v>105.4</v>
      </c>
      <c r="D1135" s="5">
        <v>78.099999999999994</v>
      </c>
      <c r="E1135" s="3" t="s">
        <v>7</v>
      </c>
      <c r="F1135" s="6">
        <v>45761.549305555563</v>
      </c>
    </row>
    <row r="1136" spans="1:6" x14ac:dyDescent="0.3">
      <c r="A1136" s="3">
        <v>1135</v>
      </c>
      <c r="B1136" s="4">
        <f t="shared" si="18"/>
        <v>0.74103585657370519</v>
      </c>
      <c r="C1136" s="5">
        <v>75.3</v>
      </c>
      <c r="D1136" s="5">
        <v>55.8</v>
      </c>
      <c r="E1136" s="3" t="s">
        <v>7</v>
      </c>
      <c r="F1136" s="6">
        <v>44592.5</v>
      </c>
    </row>
    <row r="1137" spans="1:6" x14ac:dyDescent="0.3">
      <c r="A1137" s="3">
        <v>1136</v>
      </c>
      <c r="B1137" s="4">
        <f t="shared" si="18"/>
        <v>0.7414364640883977</v>
      </c>
      <c r="C1137" s="5">
        <v>90.5</v>
      </c>
      <c r="D1137" s="5">
        <v>67.099999999999994</v>
      </c>
      <c r="E1137" s="3" t="s">
        <v>7</v>
      </c>
      <c r="F1137" s="6">
        <v>45083.527777777781</v>
      </c>
    </row>
    <row r="1138" spans="1:6" x14ac:dyDescent="0.3">
      <c r="A1138" s="3">
        <v>1137</v>
      </c>
      <c r="B1138" s="4">
        <f t="shared" si="18"/>
        <v>0.74258760107816713</v>
      </c>
      <c r="C1138" s="5">
        <v>74.2</v>
      </c>
      <c r="D1138" s="5">
        <v>55.1</v>
      </c>
      <c r="E1138" s="3" t="s">
        <v>11</v>
      </c>
      <c r="F1138" s="6">
        <v>45758.588194444441</v>
      </c>
    </row>
    <row r="1139" spans="1:6" x14ac:dyDescent="0.3">
      <c r="A1139" s="3">
        <v>1138</v>
      </c>
      <c r="B1139" s="4">
        <f t="shared" si="18"/>
        <v>0.74280732345248479</v>
      </c>
      <c r="C1139" s="5">
        <v>114.7</v>
      </c>
      <c r="D1139" s="5">
        <v>85.2</v>
      </c>
      <c r="E1139" s="3" t="s">
        <v>7</v>
      </c>
      <c r="F1139" s="6">
        <v>45839.645833333343</v>
      </c>
    </row>
    <row r="1140" spans="1:6" x14ac:dyDescent="0.3">
      <c r="A1140" s="3">
        <v>1139</v>
      </c>
      <c r="B1140" s="4">
        <f t="shared" si="18"/>
        <v>0.74299835255354196</v>
      </c>
      <c r="C1140" s="5">
        <v>60.7</v>
      </c>
      <c r="D1140" s="5">
        <v>45.1</v>
      </c>
      <c r="E1140" s="3" t="s">
        <v>11</v>
      </c>
      <c r="F1140" s="6">
        <v>45182.379166666673</v>
      </c>
    </row>
    <row r="1141" spans="1:6" x14ac:dyDescent="0.3">
      <c r="A1141" s="3">
        <v>1140</v>
      </c>
      <c r="B1141" s="4">
        <f t="shared" si="18"/>
        <v>0.74332061068702293</v>
      </c>
      <c r="C1141" s="5">
        <v>104.8</v>
      </c>
      <c r="D1141" s="5">
        <v>77.900000000000006</v>
      </c>
      <c r="E1141" s="3" t="s">
        <v>7</v>
      </c>
      <c r="F1141" s="6">
        <v>45625.593055555553</v>
      </c>
    </row>
    <row r="1142" spans="1:6" x14ac:dyDescent="0.3">
      <c r="A1142" s="3">
        <v>1141</v>
      </c>
      <c r="B1142" s="4">
        <f t="shared" si="18"/>
        <v>0.74380165289256195</v>
      </c>
      <c r="C1142" s="5">
        <v>60.5</v>
      </c>
      <c r="D1142" s="5">
        <v>45</v>
      </c>
      <c r="E1142" s="3" t="s">
        <v>7</v>
      </c>
      <c r="F1142" s="6">
        <v>45209.303472222222</v>
      </c>
    </row>
    <row r="1143" spans="1:6" x14ac:dyDescent="0.3">
      <c r="A1143" s="3">
        <v>1142</v>
      </c>
      <c r="B1143" s="4">
        <f t="shared" si="18"/>
        <v>0.74383561643835616</v>
      </c>
      <c r="C1143" s="5">
        <v>73</v>
      </c>
      <c r="D1143" s="5">
        <v>54.3</v>
      </c>
      <c r="E1143" s="3" t="s">
        <v>11</v>
      </c>
      <c r="F1143" s="6">
        <v>45748.201388888891</v>
      </c>
    </row>
    <row r="1144" spans="1:6" x14ac:dyDescent="0.3">
      <c r="A1144" s="3">
        <v>1143</v>
      </c>
      <c r="B1144" s="4">
        <f t="shared" si="18"/>
        <v>0.74415405777166432</v>
      </c>
      <c r="C1144" s="5">
        <v>72.7</v>
      </c>
      <c r="D1144" s="5">
        <v>54.1</v>
      </c>
      <c r="E1144" s="3" t="s">
        <v>11</v>
      </c>
      <c r="F1144" s="6">
        <v>45085.377083333333</v>
      </c>
    </row>
    <row r="1145" spans="1:6" x14ac:dyDescent="0.3">
      <c r="A1145" s="3">
        <v>1144</v>
      </c>
      <c r="B1145" s="4">
        <f t="shared" si="18"/>
        <v>0.74425727411944875</v>
      </c>
      <c r="C1145" s="5">
        <v>65.3</v>
      </c>
      <c r="D1145" s="5">
        <v>48.6</v>
      </c>
      <c r="E1145" s="3" t="s">
        <v>7</v>
      </c>
      <c r="F1145" s="6">
        <v>45371.527083333327</v>
      </c>
    </row>
    <row r="1146" spans="1:6" x14ac:dyDescent="0.3">
      <c r="A1146" s="3">
        <v>1145</v>
      </c>
      <c r="B1146" s="4">
        <f t="shared" si="18"/>
        <v>0.74471544715447147</v>
      </c>
      <c r="C1146" s="5">
        <v>61.5</v>
      </c>
      <c r="D1146" s="5">
        <v>45.8</v>
      </c>
      <c r="E1146" s="3" t="s">
        <v>7</v>
      </c>
      <c r="F1146" s="6">
        <v>44609.167361111111</v>
      </c>
    </row>
    <row r="1147" spans="1:6" x14ac:dyDescent="0.3">
      <c r="A1147" s="3">
        <v>1146</v>
      </c>
      <c r="B1147" s="4">
        <f t="shared" si="18"/>
        <v>0.74487179487179489</v>
      </c>
      <c r="C1147" s="5">
        <v>78</v>
      </c>
      <c r="D1147" s="5">
        <v>58.1</v>
      </c>
      <c r="E1147" s="3" t="s">
        <v>7</v>
      </c>
      <c r="F1147" s="6">
        <v>44951.428472222222</v>
      </c>
    </row>
    <row r="1148" spans="1:6" x14ac:dyDescent="0.3">
      <c r="A1148" s="3">
        <v>1147</v>
      </c>
      <c r="B1148" s="4">
        <f t="shared" si="18"/>
        <v>0.74524714828897343</v>
      </c>
      <c r="C1148" s="5">
        <v>52.6</v>
      </c>
      <c r="D1148" s="5">
        <v>39.200000000000003</v>
      </c>
      <c r="E1148" s="3" t="s">
        <v>11</v>
      </c>
      <c r="F1148" s="6">
        <v>44847.025000000001</v>
      </c>
    </row>
    <row r="1149" spans="1:6" x14ac:dyDescent="0.3">
      <c r="A1149" s="3">
        <v>1148</v>
      </c>
      <c r="B1149" s="4">
        <f t="shared" si="18"/>
        <v>0.74551131928181114</v>
      </c>
      <c r="C1149" s="5">
        <v>128.1</v>
      </c>
      <c r="D1149" s="5">
        <v>95.5</v>
      </c>
      <c r="E1149" s="3" t="s">
        <v>7</v>
      </c>
      <c r="F1149" s="6">
        <v>44575.75</v>
      </c>
    </row>
    <row r="1150" spans="1:6" x14ac:dyDescent="0.3">
      <c r="A1150" s="3">
        <v>1149</v>
      </c>
      <c r="B1150" s="4">
        <f t="shared" si="18"/>
        <v>0.74560117302052786</v>
      </c>
      <c r="C1150" s="5">
        <v>136.4</v>
      </c>
      <c r="D1150" s="5">
        <v>101.7</v>
      </c>
      <c r="E1150" s="3" t="s">
        <v>7</v>
      </c>
      <c r="F1150" s="6">
        <v>46104.668749999997</v>
      </c>
    </row>
    <row r="1151" spans="1:6" x14ac:dyDescent="0.3">
      <c r="A1151" s="3">
        <v>1150</v>
      </c>
      <c r="B1151" s="4">
        <f t="shared" si="18"/>
        <v>0.74584717607973416</v>
      </c>
      <c r="C1151" s="5">
        <v>60.2</v>
      </c>
      <c r="D1151" s="5">
        <v>44.9</v>
      </c>
      <c r="E1151" s="3" t="s">
        <v>7</v>
      </c>
      <c r="F1151" s="6">
        <v>45323.625</v>
      </c>
    </row>
    <row r="1152" spans="1:6" x14ac:dyDescent="0.3">
      <c r="A1152" s="3">
        <v>1151</v>
      </c>
      <c r="B1152" s="4">
        <f t="shared" si="18"/>
        <v>0.74622030237580994</v>
      </c>
      <c r="C1152" s="5">
        <v>92.6</v>
      </c>
      <c r="D1152" s="5">
        <v>69.099999999999994</v>
      </c>
      <c r="E1152" s="3" t="s">
        <v>7</v>
      </c>
      <c r="F1152" s="6">
        <v>45062.27847222222</v>
      </c>
    </row>
    <row r="1153" spans="1:6" x14ac:dyDescent="0.3">
      <c r="A1153" s="3">
        <v>1152</v>
      </c>
      <c r="B1153" s="4">
        <f t="shared" si="18"/>
        <v>0.74751773049645398</v>
      </c>
      <c r="C1153" s="5">
        <v>70.5</v>
      </c>
      <c r="D1153" s="5">
        <v>52.7</v>
      </c>
      <c r="E1153" s="3" t="s">
        <v>11</v>
      </c>
      <c r="F1153" s="6">
        <v>46189.664583333331</v>
      </c>
    </row>
    <row r="1154" spans="1:6" x14ac:dyDescent="0.3">
      <c r="A1154" s="3">
        <v>1153</v>
      </c>
      <c r="B1154" s="4">
        <f t="shared" ref="B1154:B1217" si="19">D1154/C1154</f>
        <v>0.74754558204768584</v>
      </c>
      <c r="C1154" s="5">
        <v>71.3</v>
      </c>
      <c r="D1154" s="5">
        <v>53.3</v>
      </c>
      <c r="E1154" s="3" t="s">
        <v>7</v>
      </c>
      <c r="F1154" s="6">
        <v>44862.53402777778</v>
      </c>
    </row>
    <row r="1155" spans="1:6" x14ac:dyDescent="0.3">
      <c r="A1155" s="3">
        <v>1154</v>
      </c>
      <c r="B1155" s="4">
        <f t="shared" si="19"/>
        <v>0.74763033175355442</v>
      </c>
      <c r="C1155" s="5">
        <v>84.4</v>
      </c>
      <c r="D1155" s="5">
        <v>63.1</v>
      </c>
      <c r="E1155" s="3" t="s">
        <v>7</v>
      </c>
      <c r="F1155" s="6">
        <v>44838.092361111107</v>
      </c>
    </row>
    <row r="1156" spans="1:6" x14ac:dyDescent="0.3">
      <c r="A1156" s="3">
        <v>1155</v>
      </c>
      <c r="B1156" s="4">
        <f t="shared" si="19"/>
        <v>0.74783683559950553</v>
      </c>
      <c r="C1156" s="5">
        <v>80.900000000000006</v>
      </c>
      <c r="D1156" s="5">
        <v>60.5</v>
      </c>
      <c r="E1156" s="3" t="s">
        <v>11</v>
      </c>
      <c r="F1156" s="6">
        <v>45322.013194444437</v>
      </c>
    </row>
    <row r="1157" spans="1:6" x14ac:dyDescent="0.3">
      <c r="A1157" s="3">
        <v>1156</v>
      </c>
      <c r="B1157" s="4">
        <f t="shared" si="19"/>
        <v>0.74891146589259794</v>
      </c>
      <c r="C1157" s="5">
        <v>68.900000000000006</v>
      </c>
      <c r="D1157" s="5">
        <v>51.6</v>
      </c>
      <c r="E1157" s="3" t="s">
        <v>11</v>
      </c>
      <c r="F1157" s="6">
        <v>44929.125694444447</v>
      </c>
    </row>
    <row r="1158" spans="1:6" x14ac:dyDescent="0.3">
      <c r="A1158" s="3">
        <v>1157</v>
      </c>
      <c r="B1158" s="4">
        <f t="shared" si="19"/>
        <v>0.74906367041198507</v>
      </c>
      <c r="C1158" s="5">
        <v>53.4</v>
      </c>
      <c r="D1158" s="5">
        <v>40</v>
      </c>
      <c r="E1158" s="3" t="s">
        <v>7</v>
      </c>
      <c r="F1158" s="6">
        <v>44937.761111111111</v>
      </c>
    </row>
    <row r="1159" spans="1:6" x14ac:dyDescent="0.3">
      <c r="A1159" s="3">
        <v>1158</v>
      </c>
      <c r="B1159" s="4">
        <f t="shared" si="19"/>
        <v>0.74938574938574931</v>
      </c>
      <c r="C1159" s="5">
        <v>81.400000000000006</v>
      </c>
      <c r="D1159" s="5">
        <v>61</v>
      </c>
      <c r="E1159" s="3" t="s">
        <v>11</v>
      </c>
      <c r="F1159" s="6">
        <v>45502.811111111107</v>
      </c>
    </row>
    <row r="1160" spans="1:6" x14ac:dyDescent="0.3">
      <c r="A1160" s="3">
        <v>1159</v>
      </c>
      <c r="B1160" s="4">
        <f t="shared" si="19"/>
        <v>0.74950690335305714</v>
      </c>
      <c r="C1160" s="5">
        <v>101.4</v>
      </c>
      <c r="D1160" s="5">
        <v>76</v>
      </c>
      <c r="E1160" s="3" t="s">
        <v>7</v>
      </c>
      <c r="F1160" s="6">
        <v>45684.333333333343</v>
      </c>
    </row>
    <row r="1161" spans="1:6" x14ac:dyDescent="0.3">
      <c r="A1161" s="3">
        <v>1160</v>
      </c>
      <c r="B1161" s="4">
        <f t="shared" si="19"/>
        <v>0.74999999999999989</v>
      </c>
      <c r="C1161" s="5">
        <v>78.400000000000006</v>
      </c>
      <c r="D1161" s="5">
        <v>58.8</v>
      </c>
      <c r="E1161" s="3" t="s">
        <v>11</v>
      </c>
      <c r="F1161" s="6">
        <v>45975.539583333331</v>
      </c>
    </row>
    <row r="1162" spans="1:6" x14ac:dyDescent="0.3">
      <c r="A1162" s="3">
        <v>1161</v>
      </c>
      <c r="B1162" s="4">
        <f t="shared" si="19"/>
        <v>0.75053918044572254</v>
      </c>
      <c r="C1162" s="5">
        <v>139.1</v>
      </c>
      <c r="D1162" s="5">
        <v>104.4</v>
      </c>
      <c r="E1162" s="3" t="s">
        <v>7</v>
      </c>
      <c r="F1162" s="6">
        <v>44967.168749999997</v>
      </c>
    </row>
    <row r="1163" spans="1:6" x14ac:dyDescent="0.3">
      <c r="A1163" s="3">
        <v>1162</v>
      </c>
      <c r="B1163" s="4">
        <f t="shared" si="19"/>
        <v>0.75072463768115949</v>
      </c>
      <c r="C1163" s="5">
        <v>103.5</v>
      </c>
      <c r="D1163" s="5">
        <v>77.7</v>
      </c>
      <c r="E1163" s="3" t="s">
        <v>11</v>
      </c>
      <c r="F1163" s="6">
        <v>46121.736111111109</v>
      </c>
    </row>
    <row r="1164" spans="1:6" x14ac:dyDescent="0.3">
      <c r="A1164" s="3">
        <v>1163</v>
      </c>
      <c r="B1164" s="4">
        <f t="shared" si="19"/>
        <v>0.75139977603583419</v>
      </c>
      <c r="C1164" s="5">
        <v>89.3</v>
      </c>
      <c r="D1164" s="5">
        <v>67.099999999999994</v>
      </c>
      <c r="E1164" s="3" t="s">
        <v>7</v>
      </c>
      <c r="F1164" s="6">
        <v>44918.564583333333</v>
      </c>
    </row>
    <row r="1165" spans="1:6" x14ac:dyDescent="0.3">
      <c r="A1165" s="3">
        <v>1164</v>
      </c>
      <c r="B1165" s="4">
        <f t="shared" si="19"/>
        <v>0.75173010380622851</v>
      </c>
      <c r="C1165" s="5">
        <v>115.6</v>
      </c>
      <c r="D1165" s="5">
        <v>86.9</v>
      </c>
      <c r="E1165" s="3" t="s">
        <v>11</v>
      </c>
      <c r="F1165" s="6">
        <v>45821.654861111107</v>
      </c>
    </row>
    <row r="1166" spans="1:6" x14ac:dyDescent="0.3">
      <c r="A1166" s="3">
        <v>1165</v>
      </c>
      <c r="B1166" s="4">
        <f t="shared" si="19"/>
        <v>0.75182481751824826</v>
      </c>
      <c r="C1166" s="5">
        <v>54.8</v>
      </c>
      <c r="D1166" s="5">
        <v>41.2</v>
      </c>
      <c r="E1166" s="3" t="s">
        <v>11</v>
      </c>
      <c r="F1166" s="6">
        <v>45747.490277777782</v>
      </c>
    </row>
    <row r="1167" spans="1:6" x14ac:dyDescent="0.3">
      <c r="A1167" s="3">
        <v>1166</v>
      </c>
      <c r="B1167" s="4">
        <f t="shared" si="19"/>
        <v>0.75244755244755246</v>
      </c>
      <c r="C1167" s="5">
        <v>71.5</v>
      </c>
      <c r="D1167" s="5">
        <v>53.8</v>
      </c>
      <c r="E1167" s="3" t="s">
        <v>11</v>
      </c>
      <c r="F1167" s="6">
        <v>44858.619444444441</v>
      </c>
    </row>
    <row r="1168" spans="1:6" x14ac:dyDescent="0.3">
      <c r="A1168" s="3">
        <v>1167</v>
      </c>
      <c r="B1168" s="4">
        <f t="shared" si="19"/>
        <v>0.75290697674418605</v>
      </c>
      <c r="C1168" s="5">
        <v>68.8</v>
      </c>
      <c r="D1168" s="5">
        <v>51.8</v>
      </c>
      <c r="E1168" s="3" t="s">
        <v>7</v>
      </c>
      <c r="F1168" s="6">
        <v>45509.73333333333</v>
      </c>
    </row>
    <row r="1169" spans="1:6" x14ac:dyDescent="0.3">
      <c r="A1169" s="3">
        <v>1168</v>
      </c>
      <c r="B1169" s="4">
        <f t="shared" si="19"/>
        <v>0.75309917355371914</v>
      </c>
      <c r="C1169" s="5">
        <v>96.8</v>
      </c>
      <c r="D1169" s="5">
        <v>72.900000000000006</v>
      </c>
      <c r="E1169" s="3" t="s">
        <v>11</v>
      </c>
      <c r="F1169" s="6">
        <v>45190.731249999997</v>
      </c>
    </row>
    <row r="1170" spans="1:6" x14ac:dyDescent="0.3">
      <c r="A1170" s="3">
        <v>1169</v>
      </c>
      <c r="B1170" s="4">
        <f t="shared" si="19"/>
        <v>0.7531914893617021</v>
      </c>
      <c r="C1170" s="5">
        <v>70.5</v>
      </c>
      <c r="D1170" s="5">
        <v>53.1</v>
      </c>
      <c r="E1170" s="3" t="s">
        <v>11</v>
      </c>
      <c r="F1170" s="6">
        <v>44847.555555555547</v>
      </c>
    </row>
    <row r="1171" spans="1:6" x14ac:dyDescent="0.3">
      <c r="A1171" s="3">
        <v>1170</v>
      </c>
      <c r="B1171" s="4">
        <f t="shared" si="19"/>
        <v>0.75407779171894607</v>
      </c>
      <c r="C1171" s="5">
        <v>79.7</v>
      </c>
      <c r="D1171" s="5">
        <v>60.1</v>
      </c>
      <c r="E1171" s="3" t="s">
        <v>11</v>
      </c>
      <c r="F1171" s="6">
        <v>45351.629861111112</v>
      </c>
    </row>
    <row r="1172" spans="1:6" x14ac:dyDescent="0.3">
      <c r="A1172" s="3">
        <v>1171</v>
      </c>
      <c r="B1172" s="4">
        <f t="shared" si="19"/>
        <v>0.75445544554455446</v>
      </c>
      <c r="C1172" s="5">
        <v>50.5</v>
      </c>
      <c r="D1172" s="5">
        <v>38.1</v>
      </c>
      <c r="E1172" s="3" t="s">
        <v>7</v>
      </c>
      <c r="F1172" s="6">
        <v>45687.513888888891</v>
      </c>
    </row>
    <row r="1173" spans="1:6" x14ac:dyDescent="0.3">
      <c r="A1173" s="3">
        <v>1172</v>
      </c>
      <c r="B1173" s="4">
        <f t="shared" si="19"/>
        <v>0.75495915985997664</v>
      </c>
      <c r="C1173" s="5">
        <v>85.7</v>
      </c>
      <c r="D1173" s="5">
        <v>64.7</v>
      </c>
      <c r="E1173" s="3" t="s">
        <v>7</v>
      </c>
      <c r="F1173" s="6">
        <v>45701.5625</v>
      </c>
    </row>
    <row r="1174" spans="1:6" x14ac:dyDescent="0.3">
      <c r="A1174" s="3">
        <v>1173</v>
      </c>
      <c r="B1174" s="4">
        <f t="shared" si="19"/>
        <v>0.75510204081632659</v>
      </c>
      <c r="C1174" s="5">
        <v>68.599999999999994</v>
      </c>
      <c r="D1174" s="5">
        <v>51.8</v>
      </c>
      <c r="E1174" s="3" t="s">
        <v>7</v>
      </c>
      <c r="F1174" s="6">
        <v>46241.447222222218</v>
      </c>
    </row>
    <row r="1175" spans="1:6" x14ac:dyDescent="0.3">
      <c r="A1175" s="3">
        <v>1174</v>
      </c>
      <c r="B1175" s="4">
        <f t="shared" si="19"/>
        <v>0.75520833333333337</v>
      </c>
      <c r="C1175" s="5">
        <v>76.8</v>
      </c>
      <c r="D1175" s="5">
        <v>58</v>
      </c>
      <c r="E1175" s="3" t="s">
        <v>7</v>
      </c>
      <c r="F1175" s="6">
        <v>45399.67083333333</v>
      </c>
    </row>
    <row r="1176" spans="1:6" x14ac:dyDescent="0.3">
      <c r="A1176" s="3">
        <v>1175</v>
      </c>
      <c r="B1176" s="4">
        <f t="shared" si="19"/>
        <v>0.75534759358288772</v>
      </c>
      <c r="C1176" s="5">
        <v>74.8</v>
      </c>
      <c r="D1176" s="5">
        <v>56.5</v>
      </c>
      <c r="E1176" s="3" t="s">
        <v>7</v>
      </c>
      <c r="F1176" s="6">
        <v>44482.540277777778</v>
      </c>
    </row>
    <row r="1177" spans="1:6" x14ac:dyDescent="0.3">
      <c r="A1177" s="3">
        <v>1176</v>
      </c>
      <c r="B1177" s="4">
        <f t="shared" si="19"/>
        <v>0.75545851528384278</v>
      </c>
      <c r="C1177" s="5">
        <v>68.7</v>
      </c>
      <c r="D1177" s="5">
        <v>51.9</v>
      </c>
      <c r="E1177" s="3" t="s">
        <v>7</v>
      </c>
      <c r="F1177" s="6">
        <v>45141.500694444447</v>
      </c>
    </row>
    <row r="1178" spans="1:6" x14ac:dyDescent="0.3">
      <c r="A1178" s="3">
        <v>1177</v>
      </c>
      <c r="B1178" s="4">
        <f t="shared" si="19"/>
        <v>0.75579598145285931</v>
      </c>
      <c r="C1178" s="5">
        <v>64.7</v>
      </c>
      <c r="D1178" s="5">
        <v>48.9</v>
      </c>
      <c r="E1178" s="3" t="s">
        <v>7</v>
      </c>
      <c r="F1178" s="6">
        <v>44671.334027777782</v>
      </c>
    </row>
    <row r="1179" spans="1:6" x14ac:dyDescent="0.3">
      <c r="A1179" s="3">
        <v>1178</v>
      </c>
      <c r="B1179" s="4">
        <f t="shared" si="19"/>
        <v>0.75586206896551722</v>
      </c>
      <c r="C1179" s="5">
        <v>72.5</v>
      </c>
      <c r="D1179" s="5">
        <v>54.8</v>
      </c>
      <c r="E1179" s="3" t="s">
        <v>7</v>
      </c>
      <c r="F1179" s="6">
        <v>44915.027083333327</v>
      </c>
    </row>
    <row r="1180" spans="1:6" x14ac:dyDescent="0.3">
      <c r="A1180" s="3">
        <v>1179</v>
      </c>
      <c r="B1180" s="4">
        <f t="shared" si="19"/>
        <v>0.75595238095238104</v>
      </c>
      <c r="C1180" s="5">
        <v>50.4</v>
      </c>
      <c r="D1180" s="5">
        <v>38.1</v>
      </c>
      <c r="E1180" s="3" t="s">
        <v>11</v>
      </c>
      <c r="F1180" s="6">
        <v>44979.063194444447</v>
      </c>
    </row>
    <row r="1181" spans="1:6" x14ac:dyDescent="0.3">
      <c r="A1181" s="3">
        <v>1180</v>
      </c>
      <c r="B1181" s="4">
        <f t="shared" si="19"/>
        <v>0.75596612779060812</v>
      </c>
      <c r="C1181" s="5">
        <v>129.9</v>
      </c>
      <c r="D1181" s="5">
        <v>98.2</v>
      </c>
      <c r="E1181" s="3" t="s">
        <v>11</v>
      </c>
      <c r="F1181" s="6">
        <v>44834.23333333333</v>
      </c>
    </row>
    <row r="1182" spans="1:6" x14ac:dyDescent="0.3">
      <c r="A1182" s="3">
        <v>1181</v>
      </c>
      <c r="B1182" s="4">
        <f t="shared" si="19"/>
        <v>0.75684931506849318</v>
      </c>
      <c r="C1182" s="5">
        <v>58.4</v>
      </c>
      <c r="D1182" s="5">
        <v>44.2</v>
      </c>
      <c r="E1182" s="3" t="s">
        <v>11</v>
      </c>
      <c r="F1182" s="6">
        <v>44930.623611111107</v>
      </c>
    </row>
    <row r="1183" spans="1:6" x14ac:dyDescent="0.3">
      <c r="A1183" s="3">
        <v>1182</v>
      </c>
      <c r="B1183" s="4">
        <f t="shared" si="19"/>
        <v>0.75706214689265539</v>
      </c>
      <c r="C1183" s="5">
        <v>70.8</v>
      </c>
      <c r="D1183" s="5">
        <v>53.6</v>
      </c>
      <c r="E1183" s="3" t="s">
        <v>11</v>
      </c>
      <c r="F1183" s="6">
        <v>44964.388888888891</v>
      </c>
    </row>
    <row r="1184" spans="1:6" x14ac:dyDescent="0.3">
      <c r="A1184" s="3">
        <v>1183</v>
      </c>
      <c r="B1184" s="4">
        <f t="shared" si="19"/>
        <v>0.75754961173425361</v>
      </c>
      <c r="C1184" s="5">
        <v>115.9</v>
      </c>
      <c r="D1184" s="5">
        <v>87.8</v>
      </c>
      <c r="E1184" s="3" t="s">
        <v>11</v>
      </c>
      <c r="F1184" s="6">
        <v>45505.588194444441</v>
      </c>
    </row>
    <row r="1185" spans="1:6" x14ac:dyDescent="0.3">
      <c r="A1185" s="3">
        <v>1184</v>
      </c>
      <c r="B1185" s="4">
        <f t="shared" si="19"/>
        <v>0.75788497217068651</v>
      </c>
      <c r="C1185" s="5">
        <v>107.8</v>
      </c>
      <c r="D1185" s="5">
        <v>81.7</v>
      </c>
      <c r="E1185" s="3" t="s">
        <v>7</v>
      </c>
      <c r="F1185" s="6">
        <v>45754.114583333343</v>
      </c>
    </row>
    <row r="1186" spans="1:6" x14ac:dyDescent="0.3">
      <c r="A1186" s="3">
        <v>1185</v>
      </c>
      <c r="B1186" s="4">
        <f t="shared" si="19"/>
        <v>0.75795053003533563</v>
      </c>
      <c r="C1186" s="5">
        <v>56.6</v>
      </c>
      <c r="D1186" s="5">
        <v>42.9</v>
      </c>
      <c r="E1186" s="3" t="s">
        <v>7</v>
      </c>
      <c r="F1186" s="6">
        <v>45405.452777777777</v>
      </c>
    </row>
    <row r="1187" spans="1:6" x14ac:dyDescent="0.3">
      <c r="A1187" s="3">
        <v>1186</v>
      </c>
      <c r="B1187" s="4">
        <f t="shared" si="19"/>
        <v>0.75795564127290249</v>
      </c>
      <c r="C1187" s="5">
        <v>103.7</v>
      </c>
      <c r="D1187" s="5">
        <v>78.599999999999994</v>
      </c>
      <c r="E1187" s="3" t="s">
        <v>7</v>
      </c>
      <c r="F1187" s="6">
        <v>44971.662499999999</v>
      </c>
    </row>
    <row r="1188" spans="1:6" x14ac:dyDescent="0.3">
      <c r="A1188" s="3">
        <v>1187</v>
      </c>
      <c r="B1188" s="4">
        <f t="shared" si="19"/>
        <v>0.75806451612903225</v>
      </c>
      <c r="C1188" s="5">
        <v>105.4</v>
      </c>
      <c r="D1188" s="5">
        <v>79.900000000000006</v>
      </c>
      <c r="E1188" s="3" t="s">
        <v>11</v>
      </c>
      <c r="F1188" s="6">
        <v>44690.69027777778</v>
      </c>
    </row>
    <row r="1189" spans="1:6" x14ac:dyDescent="0.3">
      <c r="A1189" s="3">
        <v>1188</v>
      </c>
      <c r="B1189" s="4">
        <f t="shared" si="19"/>
        <v>0.75912408759124084</v>
      </c>
      <c r="C1189" s="5">
        <v>95.9</v>
      </c>
      <c r="D1189" s="5">
        <v>72.8</v>
      </c>
      <c r="E1189" s="3" t="s">
        <v>7</v>
      </c>
      <c r="F1189" s="6">
        <v>44638.561805555553</v>
      </c>
    </row>
    <row r="1190" spans="1:6" x14ac:dyDescent="0.3">
      <c r="A1190" s="3">
        <v>1189</v>
      </c>
      <c r="B1190" s="4">
        <f t="shared" si="19"/>
        <v>0.75931232091690548</v>
      </c>
      <c r="C1190" s="5">
        <v>69.8</v>
      </c>
      <c r="D1190" s="5">
        <v>53</v>
      </c>
      <c r="E1190" s="3" t="s">
        <v>7</v>
      </c>
      <c r="F1190" s="6">
        <v>46091.520833333343</v>
      </c>
    </row>
    <row r="1191" spans="1:6" x14ac:dyDescent="0.3">
      <c r="A1191" s="3">
        <v>1190</v>
      </c>
      <c r="B1191" s="4">
        <f t="shared" si="19"/>
        <v>0.75931677018633537</v>
      </c>
      <c r="C1191" s="5">
        <v>64.400000000000006</v>
      </c>
      <c r="D1191" s="5">
        <v>48.9</v>
      </c>
      <c r="E1191" s="3" t="s">
        <v>7</v>
      </c>
      <c r="F1191" s="6">
        <v>45118.556250000001</v>
      </c>
    </row>
    <row r="1192" spans="1:6" x14ac:dyDescent="0.3">
      <c r="A1192" s="3">
        <v>1191</v>
      </c>
      <c r="B1192" s="4">
        <f t="shared" si="19"/>
        <v>0.75935828877005351</v>
      </c>
      <c r="C1192" s="5">
        <v>74.8</v>
      </c>
      <c r="D1192" s="5">
        <v>56.8</v>
      </c>
      <c r="E1192" s="3" t="s">
        <v>11</v>
      </c>
      <c r="F1192" s="6">
        <v>45708.444444444453</v>
      </c>
    </row>
    <row r="1193" spans="1:6" x14ac:dyDescent="0.3">
      <c r="A1193" s="3">
        <v>1192</v>
      </c>
      <c r="B1193" s="4">
        <f t="shared" si="19"/>
        <v>0.75939849624060152</v>
      </c>
      <c r="C1193" s="5">
        <v>66.5</v>
      </c>
      <c r="D1193" s="5">
        <v>50.5</v>
      </c>
      <c r="E1193" s="3" t="s">
        <v>7</v>
      </c>
      <c r="F1193" s="6">
        <v>46077.915972222218</v>
      </c>
    </row>
    <row r="1194" spans="1:6" x14ac:dyDescent="0.3">
      <c r="A1194" s="3">
        <v>1193</v>
      </c>
      <c r="B1194" s="4">
        <f t="shared" si="19"/>
        <v>0.76038338658146964</v>
      </c>
      <c r="C1194" s="5">
        <v>62.6</v>
      </c>
      <c r="D1194" s="5">
        <v>47.6</v>
      </c>
      <c r="E1194" s="3" t="s">
        <v>7</v>
      </c>
      <c r="F1194" s="6">
        <v>44701.63958333333</v>
      </c>
    </row>
    <row r="1195" spans="1:6" x14ac:dyDescent="0.3">
      <c r="A1195" s="3">
        <v>1194</v>
      </c>
      <c r="B1195" s="4">
        <f t="shared" si="19"/>
        <v>0.76038647342995169</v>
      </c>
      <c r="C1195" s="5">
        <v>103.5</v>
      </c>
      <c r="D1195" s="5">
        <v>78.7</v>
      </c>
      <c r="E1195" s="3" t="s">
        <v>7</v>
      </c>
      <c r="F1195" s="6">
        <v>44687.572222222218</v>
      </c>
    </row>
    <row r="1196" spans="1:6" x14ac:dyDescent="0.3">
      <c r="A1196" s="3">
        <v>1195</v>
      </c>
      <c r="B1196" s="4">
        <f t="shared" si="19"/>
        <v>0.76053442959917783</v>
      </c>
      <c r="C1196" s="5">
        <v>97.3</v>
      </c>
      <c r="D1196" s="5">
        <v>74</v>
      </c>
      <c r="E1196" s="3" t="s">
        <v>7</v>
      </c>
      <c r="F1196" s="6">
        <v>45907.944444444453</v>
      </c>
    </row>
    <row r="1197" spans="1:6" x14ac:dyDescent="0.3">
      <c r="A1197" s="3">
        <v>1196</v>
      </c>
      <c r="B1197" s="4">
        <f t="shared" si="19"/>
        <v>0.76061776061776065</v>
      </c>
      <c r="C1197" s="5">
        <v>51.8</v>
      </c>
      <c r="D1197" s="5">
        <v>39.4</v>
      </c>
      <c r="E1197" s="3" t="s">
        <v>7</v>
      </c>
      <c r="F1197" s="6">
        <v>46218.43472222222</v>
      </c>
    </row>
    <row r="1198" spans="1:6" x14ac:dyDescent="0.3">
      <c r="A1198" s="3">
        <v>1197</v>
      </c>
      <c r="B1198" s="4">
        <f t="shared" si="19"/>
        <v>0.76081424936386766</v>
      </c>
      <c r="C1198" s="5">
        <v>78.599999999999994</v>
      </c>
      <c r="D1198" s="5">
        <v>59.8</v>
      </c>
      <c r="E1198" s="3" t="s">
        <v>11</v>
      </c>
      <c r="F1198" s="6">
        <v>45302.566666666673</v>
      </c>
    </row>
    <row r="1199" spans="1:6" x14ac:dyDescent="0.3">
      <c r="A1199" s="3">
        <v>1198</v>
      </c>
      <c r="B1199" s="4">
        <f t="shared" si="19"/>
        <v>0.76190476190476186</v>
      </c>
      <c r="C1199" s="5">
        <v>63</v>
      </c>
      <c r="D1199" s="5">
        <v>48</v>
      </c>
      <c r="E1199" s="3" t="s">
        <v>11</v>
      </c>
      <c r="F1199" s="6">
        <v>44915.459722222222</v>
      </c>
    </row>
    <row r="1200" spans="1:6" x14ac:dyDescent="0.3">
      <c r="A1200" s="3">
        <v>1199</v>
      </c>
      <c r="B1200" s="4">
        <f t="shared" si="19"/>
        <v>0.76256983240223475</v>
      </c>
      <c r="C1200" s="5">
        <v>71.599999999999994</v>
      </c>
      <c r="D1200" s="5">
        <v>54.6</v>
      </c>
      <c r="E1200" s="3" t="s">
        <v>11</v>
      </c>
      <c r="F1200" s="6">
        <v>44691.445138888892</v>
      </c>
    </row>
    <row r="1201" spans="1:6" x14ac:dyDescent="0.3">
      <c r="A1201" s="3">
        <v>1200</v>
      </c>
      <c r="B1201" s="4">
        <f t="shared" si="19"/>
        <v>0.76361221779548472</v>
      </c>
      <c r="C1201" s="5">
        <v>75.3</v>
      </c>
      <c r="D1201" s="5">
        <v>57.5</v>
      </c>
      <c r="E1201" s="3" t="s">
        <v>11</v>
      </c>
      <c r="F1201" s="6">
        <v>45043.520833333343</v>
      </c>
    </row>
    <row r="1202" spans="1:6" x14ac:dyDescent="0.3">
      <c r="A1202" s="3">
        <v>1201</v>
      </c>
      <c r="B1202" s="4">
        <f t="shared" si="19"/>
        <v>0.76406926406926401</v>
      </c>
      <c r="C1202" s="5">
        <v>92.4</v>
      </c>
      <c r="D1202" s="5">
        <v>70.599999999999994</v>
      </c>
      <c r="E1202" s="3" t="s">
        <v>11</v>
      </c>
      <c r="F1202" s="6">
        <v>44826.461111111108</v>
      </c>
    </row>
    <row r="1203" spans="1:6" x14ac:dyDescent="0.3">
      <c r="A1203" s="3">
        <v>1202</v>
      </c>
      <c r="B1203" s="4">
        <f t="shared" si="19"/>
        <v>0.76418439716312059</v>
      </c>
      <c r="C1203" s="5">
        <v>56.4</v>
      </c>
      <c r="D1203" s="5">
        <v>43.1</v>
      </c>
      <c r="E1203" s="3" t="s">
        <v>11</v>
      </c>
      <c r="F1203" s="6">
        <v>45239.636805555558</v>
      </c>
    </row>
    <row r="1204" spans="1:6" x14ac:dyDescent="0.3">
      <c r="A1204" s="3">
        <v>1203</v>
      </c>
      <c r="B1204" s="4">
        <f t="shared" si="19"/>
        <v>0.76465364120781532</v>
      </c>
      <c r="C1204" s="5">
        <v>112.6</v>
      </c>
      <c r="D1204" s="5">
        <v>86.1</v>
      </c>
      <c r="E1204" s="3" t="s">
        <v>7</v>
      </c>
      <c r="F1204" s="6">
        <v>44764.318749999999</v>
      </c>
    </row>
    <row r="1205" spans="1:6" x14ac:dyDescent="0.3">
      <c r="A1205" s="3">
        <v>1204</v>
      </c>
      <c r="B1205" s="4">
        <f t="shared" si="19"/>
        <v>0.76476377952755914</v>
      </c>
      <c r="C1205" s="5">
        <v>101.6</v>
      </c>
      <c r="D1205" s="5">
        <v>77.7</v>
      </c>
      <c r="E1205" s="3" t="s">
        <v>11</v>
      </c>
      <c r="F1205" s="6">
        <v>44536.509722222218</v>
      </c>
    </row>
    <row r="1206" spans="1:6" x14ac:dyDescent="0.3">
      <c r="A1206" s="3">
        <v>1205</v>
      </c>
      <c r="B1206" s="4">
        <f t="shared" si="19"/>
        <v>0.76487663280116103</v>
      </c>
      <c r="C1206" s="5">
        <v>68.900000000000006</v>
      </c>
      <c r="D1206" s="5">
        <v>52.7</v>
      </c>
      <c r="E1206" s="3" t="s">
        <v>11</v>
      </c>
      <c r="F1206" s="6">
        <v>44715.581250000003</v>
      </c>
    </row>
    <row r="1207" spans="1:6" x14ac:dyDescent="0.3">
      <c r="A1207" s="3">
        <v>1206</v>
      </c>
      <c r="B1207" s="4">
        <f t="shared" si="19"/>
        <v>0.76497005988023958</v>
      </c>
      <c r="C1207" s="5">
        <v>66.8</v>
      </c>
      <c r="D1207" s="5">
        <v>51.1</v>
      </c>
      <c r="E1207" s="3" t="s">
        <v>7</v>
      </c>
      <c r="F1207" s="6">
        <v>44932.614583333343</v>
      </c>
    </row>
    <row r="1208" spans="1:6" x14ac:dyDescent="0.3">
      <c r="A1208" s="3">
        <v>1207</v>
      </c>
      <c r="B1208" s="4">
        <f t="shared" si="19"/>
        <v>0.76526315789473687</v>
      </c>
      <c r="C1208" s="5">
        <v>95</v>
      </c>
      <c r="D1208" s="5">
        <v>72.7</v>
      </c>
      <c r="E1208" s="3" t="s">
        <v>7</v>
      </c>
      <c r="F1208" s="6">
        <v>44636.772222222222</v>
      </c>
    </row>
    <row r="1209" spans="1:6" x14ac:dyDescent="0.3">
      <c r="A1209" s="3">
        <v>1208</v>
      </c>
      <c r="B1209" s="4">
        <f t="shared" si="19"/>
        <v>0.76548089591567847</v>
      </c>
      <c r="C1209" s="5">
        <v>75.900000000000006</v>
      </c>
      <c r="D1209" s="5">
        <v>58.1</v>
      </c>
      <c r="E1209" s="3" t="s">
        <v>11</v>
      </c>
      <c r="F1209" s="6">
        <v>46058.499305555553</v>
      </c>
    </row>
    <row r="1210" spans="1:6" x14ac:dyDescent="0.3">
      <c r="A1210" s="3">
        <v>1209</v>
      </c>
      <c r="B1210" s="4">
        <f t="shared" si="19"/>
        <v>0.76555716353111436</v>
      </c>
      <c r="C1210" s="5">
        <v>69.099999999999994</v>
      </c>
      <c r="D1210" s="5">
        <v>52.9</v>
      </c>
      <c r="E1210" s="3" t="s">
        <v>11</v>
      </c>
      <c r="F1210" s="6">
        <v>44511.588194444441</v>
      </c>
    </row>
    <row r="1211" spans="1:6" x14ac:dyDescent="0.3">
      <c r="A1211" s="3">
        <v>1210</v>
      </c>
      <c r="B1211" s="4">
        <f t="shared" si="19"/>
        <v>0.76557191392978474</v>
      </c>
      <c r="C1211" s="5">
        <v>88.3</v>
      </c>
      <c r="D1211" s="5">
        <v>67.599999999999994</v>
      </c>
      <c r="E1211" s="3" t="s">
        <v>7</v>
      </c>
      <c r="F1211" s="6">
        <v>44635.776388888888</v>
      </c>
    </row>
    <row r="1212" spans="1:6" x14ac:dyDescent="0.3">
      <c r="A1212" s="3">
        <v>1211</v>
      </c>
      <c r="B1212" s="4">
        <f t="shared" si="19"/>
        <v>0.7656587473002161</v>
      </c>
      <c r="C1212" s="5">
        <v>92.6</v>
      </c>
      <c r="D1212" s="5">
        <v>70.900000000000006</v>
      </c>
      <c r="E1212" s="3" t="s">
        <v>11</v>
      </c>
      <c r="F1212" s="6">
        <v>45952.693749999999</v>
      </c>
    </row>
    <row r="1213" spans="1:6" x14ac:dyDescent="0.3">
      <c r="A1213" s="3">
        <v>1212</v>
      </c>
      <c r="B1213" s="4">
        <f t="shared" si="19"/>
        <v>0.7661141804788214</v>
      </c>
      <c r="C1213" s="5">
        <v>54.3</v>
      </c>
      <c r="D1213" s="5">
        <v>41.6</v>
      </c>
      <c r="E1213" s="3" t="s">
        <v>7</v>
      </c>
      <c r="F1213" s="6">
        <v>45159.594444444447</v>
      </c>
    </row>
    <row r="1214" spans="1:6" x14ac:dyDescent="0.3">
      <c r="A1214" s="3">
        <v>1213</v>
      </c>
      <c r="B1214" s="4">
        <f t="shared" si="19"/>
        <v>0.76700111482720168</v>
      </c>
      <c r="C1214" s="5">
        <v>89.7</v>
      </c>
      <c r="D1214" s="5">
        <v>68.8</v>
      </c>
      <c r="E1214" s="3" t="s">
        <v>11</v>
      </c>
      <c r="F1214" s="6">
        <v>45509.573611111111</v>
      </c>
    </row>
    <row r="1215" spans="1:6" x14ac:dyDescent="0.3">
      <c r="A1215" s="3">
        <v>1214</v>
      </c>
      <c r="B1215" s="4">
        <f t="shared" si="19"/>
        <v>0.76739562624254476</v>
      </c>
      <c r="C1215" s="5">
        <v>100.6</v>
      </c>
      <c r="D1215" s="5">
        <v>77.2</v>
      </c>
      <c r="E1215" s="3" t="s">
        <v>11</v>
      </c>
      <c r="F1215" s="6">
        <v>45561.465277777781</v>
      </c>
    </row>
    <row r="1216" spans="1:6" x14ac:dyDescent="0.3">
      <c r="A1216" s="3">
        <v>1215</v>
      </c>
      <c r="B1216" s="4">
        <f t="shared" si="19"/>
        <v>0.76964047936085223</v>
      </c>
      <c r="C1216" s="5">
        <v>75.099999999999994</v>
      </c>
      <c r="D1216" s="5">
        <v>57.8</v>
      </c>
      <c r="E1216" s="3" t="s">
        <v>11</v>
      </c>
      <c r="F1216" s="6">
        <v>45637.100694444453</v>
      </c>
    </row>
    <row r="1217" spans="1:6" x14ac:dyDescent="0.3">
      <c r="A1217" s="3">
        <v>1216</v>
      </c>
      <c r="B1217" s="4">
        <f t="shared" si="19"/>
        <v>0.77027027027027029</v>
      </c>
      <c r="C1217" s="5">
        <v>74</v>
      </c>
      <c r="D1217" s="5">
        <v>57</v>
      </c>
      <c r="E1217" s="3" t="s">
        <v>7</v>
      </c>
      <c r="F1217" s="6">
        <v>45817.558333333327</v>
      </c>
    </row>
    <row r="1218" spans="1:6" x14ac:dyDescent="0.3">
      <c r="A1218" s="3">
        <v>1217</v>
      </c>
      <c r="B1218" s="4">
        <f t="shared" ref="B1218:B1281" si="20">D1218/C1218</f>
        <v>0.77070499657768654</v>
      </c>
      <c r="C1218" s="5">
        <v>146.1</v>
      </c>
      <c r="D1218" s="5">
        <v>112.6</v>
      </c>
      <c r="E1218" s="3" t="s">
        <v>7</v>
      </c>
      <c r="F1218" s="6">
        <v>45089.659722222219</v>
      </c>
    </row>
    <row r="1219" spans="1:6" x14ac:dyDescent="0.3">
      <c r="A1219" s="3">
        <v>1218</v>
      </c>
      <c r="B1219" s="4">
        <f t="shared" si="20"/>
        <v>0.77083333333333326</v>
      </c>
      <c r="C1219" s="5">
        <v>134.4</v>
      </c>
      <c r="D1219" s="5">
        <v>103.6</v>
      </c>
      <c r="E1219" s="3" t="s">
        <v>7</v>
      </c>
      <c r="F1219" s="6">
        <v>44830.501388888893</v>
      </c>
    </row>
    <row r="1220" spans="1:6" x14ac:dyDescent="0.3">
      <c r="A1220" s="3">
        <v>1219</v>
      </c>
      <c r="B1220" s="4">
        <f t="shared" si="20"/>
        <v>0.77130681818181812</v>
      </c>
      <c r="C1220" s="5">
        <v>70.400000000000006</v>
      </c>
      <c r="D1220" s="5">
        <v>54.3</v>
      </c>
      <c r="E1220" s="3" t="s">
        <v>11</v>
      </c>
      <c r="F1220" s="6">
        <v>45938.604861111111</v>
      </c>
    </row>
    <row r="1221" spans="1:6" x14ac:dyDescent="0.3">
      <c r="A1221" s="3">
        <v>1220</v>
      </c>
      <c r="B1221" s="4">
        <f t="shared" si="20"/>
        <v>0.77147239263803669</v>
      </c>
      <c r="C1221" s="5">
        <v>65.2</v>
      </c>
      <c r="D1221" s="5">
        <v>50.3</v>
      </c>
      <c r="E1221" s="3" t="s">
        <v>11</v>
      </c>
      <c r="F1221" s="6">
        <v>44729.422222222223</v>
      </c>
    </row>
    <row r="1222" spans="1:6" x14ac:dyDescent="0.3">
      <c r="A1222" s="3">
        <v>1221</v>
      </c>
      <c r="B1222" s="4">
        <f t="shared" si="20"/>
        <v>0.77169559412550059</v>
      </c>
      <c r="C1222" s="5">
        <v>74.900000000000006</v>
      </c>
      <c r="D1222" s="5">
        <v>57.8</v>
      </c>
      <c r="E1222" s="3" t="s">
        <v>11</v>
      </c>
      <c r="F1222" s="6">
        <v>45692.384722222218</v>
      </c>
    </row>
    <row r="1223" spans="1:6" x14ac:dyDescent="0.3">
      <c r="A1223" s="3">
        <v>1222</v>
      </c>
      <c r="B1223" s="4">
        <f t="shared" si="20"/>
        <v>0.7717514124293785</v>
      </c>
      <c r="C1223" s="5">
        <v>88.5</v>
      </c>
      <c r="D1223" s="5">
        <v>68.3</v>
      </c>
      <c r="E1223" s="3" t="s">
        <v>11</v>
      </c>
      <c r="F1223" s="6">
        <v>44914.085416666669</v>
      </c>
    </row>
    <row r="1224" spans="1:6" x14ac:dyDescent="0.3">
      <c r="A1224" s="3">
        <v>1223</v>
      </c>
      <c r="B1224" s="4">
        <f t="shared" si="20"/>
        <v>0.77189409368635431</v>
      </c>
      <c r="C1224" s="5">
        <v>98.2</v>
      </c>
      <c r="D1224" s="5">
        <v>75.8</v>
      </c>
      <c r="E1224" s="3" t="s">
        <v>7</v>
      </c>
      <c r="F1224" s="6">
        <v>44834.277083333327</v>
      </c>
    </row>
    <row r="1225" spans="1:6" x14ac:dyDescent="0.3">
      <c r="A1225" s="3">
        <v>1224</v>
      </c>
      <c r="B1225" s="4">
        <f t="shared" si="20"/>
        <v>0.773037542662116</v>
      </c>
      <c r="C1225" s="5">
        <v>58.6</v>
      </c>
      <c r="D1225" s="5">
        <v>45.3</v>
      </c>
      <c r="E1225" s="3" t="s">
        <v>11</v>
      </c>
      <c r="F1225" s="6">
        <v>45988.677083333343</v>
      </c>
    </row>
    <row r="1226" spans="1:6" x14ac:dyDescent="0.3">
      <c r="A1226" s="3">
        <v>1225</v>
      </c>
      <c r="B1226" s="4">
        <f t="shared" si="20"/>
        <v>0.77403846153846156</v>
      </c>
      <c r="C1226" s="5">
        <v>62.4</v>
      </c>
      <c r="D1226" s="5">
        <v>48.3</v>
      </c>
      <c r="E1226" s="3" t="s">
        <v>11</v>
      </c>
      <c r="F1226" s="6">
        <v>45152.448611111111</v>
      </c>
    </row>
    <row r="1227" spans="1:6" x14ac:dyDescent="0.3">
      <c r="A1227" s="3">
        <v>1226</v>
      </c>
      <c r="B1227" s="4">
        <f t="shared" si="20"/>
        <v>0.77505567928730512</v>
      </c>
      <c r="C1227" s="5">
        <v>89.8</v>
      </c>
      <c r="D1227" s="5">
        <v>69.599999999999994</v>
      </c>
      <c r="E1227" s="3" t="s">
        <v>7</v>
      </c>
      <c r="F1227" s="6">
        <v>44595.55</v>
      </c>
    </row>
    <row r="1228" spans="1:6" x14ac:dyDescent="0.3">
      <c r="A1228" s="3">
        <v>1227</v>
      </c>
      <c r="B1228" s="4">
        <f t="shared" si="20"/>
        <v>0.77710843373493976</v>
      </c>
      <c r="C1228" s="5">
        <v>66.400000000000006</v>
      </c>
      <c r="D1228" s="5">
        <v>51.6</v>
      </c>
      <c r="E1228" s="3" t="s">
        <v>11</v>
      </c>
      <c r="F1228" s="6">
        <v>44840.318749999999</v>
      </c>
    </row>
    <row r="1229" spans="1:6" x14ac:dyDescent="0.3">
      <c r="A1229" s="3">
        <v>1228</v>
      </c>
      <c r="B1229" s="4">
        <f t="shared" si="20"/>
        <v>0.77717879604672058</v>
      </c>
      <c r="C1229" s="5">
        <v>111.3</v>
      </c>
      <c r="D1229" s="5">
        <v>86.5</v>
      </c>
      <c r="E1229" s="3" t="s">
        <v>11</v>
      </c>
      <c r="F1229" s="6">
        <v>44900.538194444453</v>
      </c>
    </row>
    <row r="1230" spans="1:6" x14ac:dyDescent="0.3">
      <c r="A1230" s="3">
        <v>1229</v>
      </c>
      <c r="B1230" s="4">
        <f t="shared" si="20"/>
        <v>0.7773109243697478</v>
      </c>
      <c r="C1230" s="5">
        <v>71.400000000000006</v>
      </c>
      <c r="D1230" s="5">
        <v>55.5</v>
      </c>
      <c r="E1230" s="3" t="s">
        <v>11</v>
      </c>
      <c r="F1230" s="6">
        <v>45622.173611111109</v>
      </c>
    </row>
    <row r="1231" spans="1:6" x14ac:dyDescent="0.3">
      <c r="A1231" s="3">
        <v>1230</v>
      </c>
      <c r="B1231" s="4">
        <f t="shared" si="20"/>
        <v>0.77761413843888061</v>
      </c>
      <c r="C1231" s="5">
        <v>67.900000000000006</v>
      </c>
      <c r="D1231" s="5">
        <v>52.8</v>
      </c>
      <c r="E1231" s="3" t="s">
        <v>11</v>
      </c>
      <c r="F1231" s="6">
        <v>45812.068749999999</v>
      </c>
    </row>
    <row r="1232" spans="1:6" x14ac:dyDescent="0.3">
      <c r="A1232" s="3">
        <v>1231</v>
      </c>
      <c r="B1232" s="4">
        <f t="shared" si="20"/>
        <v>0.77777777777777779</v>
      </c>
      <c r="C1232" s="5">
        <v>74.7</v>
      </c>
      <c r="D1232" s="5">
        <v>58.1</v>
      </c>
      <c r="E1232" s="3" t="s">
        <v>7</v>
      </c>
      <c r="F1232" s="6">
        <v>44855.62777777778</v>
      </c>
    </row>
    <row r="1233" spans="1:6" x14ac:dyDescent="0.3">
      <c r="A1233" s="3">
        <v>1232</v>
      </c>
      <c r="B1233" s="4">
        <f t="shared" si="20"/>
        <v>0.77815126050420158</v>
      </c>
      <c r="C1233" s="5">
        <v>59.5</v>
      </c>
      <c r="D1233" s="5">
        <v>46.3</v>
      </c>
      <c r="E1233" s="3" t="s">
        <v>7</v>
      </c>
      <c r="F1233" s="6">
        <v>46007.26458333333</v>
      </c>
    </row>
    <row r="1234" spans="1:6" x14ac:dyDescent="0.3">
      <c r="A1234" s="3">
        <v>1233</v>
      </c>
      <c r="B1234" s="4">
        <f t="shared" si="20"/>
        <v>0.77823408624229973</v>
      </c>
      <c r="C1234" s="5">
        <v>97.4</v>
      </c>
      <c r="D1234" s="5">
        <v>75.8</v>
      </c>
      <c r="E1234" s="3" t="s">
        <v>11</v>
      </c>
      <c r="F1234" s="6">
        <v>44466.597222222219</v>
      </c>
    </row>
    <row r="1235" spans="1:6" x14ac:dyDescent="0.3">
      <c r="A1235" s="3">
        <v>1234</v>
      </c>
      <c r="B1235" s="4">
        <f t="shared" si="20"/>
        <v>0.77900552486187846</v>
      </c>
      <c r="C1235" s="5">
        <v>54.3</v>
      </c>
      <c r="D1235" s="5">
        <v>42.3</v>
      </c>
      <c r="E1235" s="3" t="s">
        <v>7</v>
      </c>
      <c r="F1235" s="6">
        <v>45448.62222222222</v>
      </c>
    </row>
    <row r="1236" spans="1:6" x14ac:dyDescent="0.3">
      <c r="A1236" s="3">
        <v>1235</v>
      </c>
      <c r="B1236" s="4">
        <f t="shared" si="20"/>
        <v>0.77904142973192536</v>
      </c>
      <c r="C1236" s="5">
        <v>123.1</v>
      </c>
      <c r="D1236" s="5">
        <v>95.9</v>
      </c>
      <c r="E1236" s="3" t="s">
        <v>11</v>
      </c>
      <c r="F1236" s="6">
        <v>44638.011805555558</v>
      </c>
    </row>
    <row r="1237" spans="1:6" x14ac:dyDescent="0.3">
      <c r="A1237" s="3">
        <v>1236</v>
      </c>
      <c r="B1237" s="4">
        <f t="shared" si="20"/>
        <v>0.7794943820224719</v>
      </c>
      <c r="C1237" s="5">
        <v>71.2</v>
      </c>
      <c r="D1237" s="5">
        <v>55.5</v>
      </c>
      <c r="E1237" s="3" t="s">
        <v>7</v>
      </c>
      <c r="F1237" s="6">
        <v>45167.615972222222</v>
      </c>
    </row>
    <row r="1238" spans="1:6" x14ac:dyDescent="0.3">
      <c r="A1238" s="3">
        <v>1237</v>
      </c>
      <c r="B1238" s="4">
        <f t="shared" si="20"/>
        <v>0.77968526466380539</v>
      </c>
      <c r="C1238" s="5">
        <v>69.900000000000006</v>
      </c>
      <c r="D1238" s="5">
        <v>54.5</v>
      </c>
      <c r="E1238" s="3" t="s">
        <v>7</v>
      </c>
      <c r="F1238" s="6">
        <v>45338.568749999999</v>
      </c>
    </row>
    <row r="1239" spans="1:6" x14ac:dyDescent="0.3">
      <c r="A1239" s="3">
        <v>1238</v>
      </c>
      <c r="B1239" s="4">
        <f t="shared" si="20"/>
        <v>0.77991137370753316</v>
      </c>
      <c r="C1239" s="5">
        <v>67.7</v>
      </c>
      <c r="D1239" s="5">
        <v>52.8</v>
      </c>
      <c r="E1239" s="3" t="s">
        <v>7</v>
      </c>
      <c r="F1239" s="6">
        <v>45271.751388888893</v>
      </c>
    </row>
    <row r="1240" spans="1:6" x14ac:dyDescent="0.3">
      <c r="A1240" s="3">
        <v>1239</v>
      </c>
      <c r="B1240" s="4">
        <f t="shared" si="20"/>
        <v>0.77998345740281216</v>
      </c>
      <c r="C1240" s="5">
        <v>120.9</v>
      </c>
      <c r="D1240" s="5">
        <v>94.3</v>
      </c>
      <c r="E1240" s="3" t="s">
        <v>11</v>
      </c>
      <c r="F1240" s="6">
        <v>45847.553472222222</v>
      </c>
    </row>
    <row r="1241" spans="1:6" x14ac:dyDescent="0.3">
      <c r="A1241" s="3">
        <v>1240</v>
      </c>
      <c r="B1241" s="4">
        <f t="shared" si="20"/>
        <v>0.78113207547169805</v>
      </c>
      <c r="C1241" s="5">
        <v>53</v>
      </c>
      <c r="D1241" s="5">
        <v>41.4</v>
      </c>
      <c r="E1241" s="3" t="s">
        <v>7</v>
      </c>
      <c r="F1241" s="6">
        <v>44461.75</v>
      </c>
    </row>
    <row r="1242" spans="1:6" x14ac:dyDescent="0.3">
      <c r="A1242" s="3">
        <v>1241</v>
      </c>
      <c r="B1242" s="4">
        <f t="shared" si="20"/>
        <v>0.78123233465234587</v>
      </c>
      <c r="C1242" s="5">
        <v>176.9</v>
      </c>
      <c r="D1242" s="5">
        <v>138.19999999999999</v>
      </c>
      <c r="E1242" s="3" t="s">
        <v>11</v>
      </c>
      <c r="F1242" s="6">
        <v>44531.291666666657</v>
      </c>
    </row>
    <row r="1243" spans="1:6" x14ac:dyDescent="0.3">
      <c r="A1243" s="3">
        <v>1242</v>
      </c>
      <c r="B1243" s="4">
        <f t="shared" si="20"/>
        <v>0.78144458281444584</v>
      </c>
      <c r="C1243" s="5">
        <v>160.6</v>
      </c>
      <c r="D1243" s="5">
        <v>125.5</v>
      </c>
      <c r="E1243" s="3" t="s">
        <v>11</v>
      </c>
      <c r="F1243" s="6">
        <v>45691.553472222222</v>
      </c>
    </row>
    <row r="1244" spans="1:6" x14ac:dyDescent="0.3">
      <c r="A1244" s="3">
        <v>1243</v>
      </c>
      <c r="B1244" s="4">
        <f t="shared" si="20"/>
        <v>0.78167115902964956</v>
      </c>
      <c r="C1244" s="5">
        <v>74.2</v>
      </c>
      <c r="D1244" s="5">
        <v>58</v>
      </c>
      <c r="E1244" s="3" t="s">
        <v>11</v>
      </c>
      <c r="F1244" s="6">
        <v>45076.066666666673</v>
      </c>
    </row>
    <row r="1245" spans="1:6" x14ac:dyDescent="0.3">
      <c r="A1245" s="3">
        <v>1244</v>
      </c>
      <c r="B1245" s="4">
        <f t="shared" si="20"/>
        <v>0.78190045248868778</v>
      </c>
      <c r="C1245" s="5">
        <v>110.5</v>
      </c>
      <c r="D1245" s="5">
        <v>86.4</v>
      </c>
      <c r="E1245" s="3" t="s">
        <v>11</v>
      </c>
      <c r="F1245" s="6">
        <v>46071.43472222222</v>
      </c>
    </row>
    <row r="1246" spans="1:6" x14ac:dyDescent="0.3">
      <c r="A1246" s="3">
        <v>1245</v>
      </c>
      <c r="B1246" s="4">
        <f t="shared" si="20"/>
        <v>0.78260869565217395</v>
      </c>
      <c r="C1246" s="5">
        <v>66.7</v>
      </c>
      <c r="D1246" s="5">
        <v>52.2</v>
      </c>
      <c r="E1246" s="3" t="s">
        <v>7</v>
      </c>
      <c r="F1246" s="6">
        <v>45132.559027777781</v>
      </c>
    </row>
    <row r="1247" spans="1:6" x14ac:dyDescent="0.3">
      <c r="A1247" s="3">
        <v>1246</v>
      </c>
      <c r="B1247" s="4">
        <f t="shared" si="20"/>
        <v>0.78292682926829271</v>
      </c>
      <c r="C1247" s="5">
        <v>82</v>
      </c>
      <c r="D1247" s="5">
        <v>64.2</v>
      </c>
      <c r="E1247" s="3" t="s">
        <v>11</v>
      </c>
      <c r="F1247" s="6">
        <v>45352.831250000003</v>
      </c>
    </row>
    <row r="1248" spans="1:6" x14ac:dyDescent="0.3">
      <c r="A1248" s="3">
        <v>1247</v>
      </c>
      <c r="B1248" s="4">
        <f t="shared" si="20"/>
        <v>0.78333333333333333</v>
      </c>
      <c r="C1248" s="5">
        <v>72</v>
      </c>
      <c r="D1248" s="5">
        <v>56.4</v>
      </c>
      <c r="E1248" s="3" t="s">
        <v>7</v>
      </c>
      <c r="F1248" s="6">
        <v>44832.392361111109</v>
      </c>
    </row>
    <row r="1249" spans="1:6" x14ac:dyDescent="0.3">
      <c r="A1249" s="3">
        <v>1248</v>
      </c>
      <c r="B1249" s="4">
        <f t="shared" si="20"/>
        <v>0.78356164383561644</v>
      </c>
      <c r="C1249" s="5">
        <v>109.5</v>
      </c>
      <c r="D1249" s="5">
        <v>85.8</v>
      </c>
      <c r="E1249" s="3" t="s">
        <v>11</v>
      </c>
      <c r="F1249" s="6">
        <v>45933.834722222222</v>
      </c>
    </row>
    <row r="1250" spans="1:6" x14ac:dyDescent="0.3">
      <c r="A1250" s="3">
        <v>1249</v>
      </c>
      <c r="B1250" s="4">
        <f t="shared" si="20"/>
        <v>0.78434268833087151</v>
      </c>
      <c r="C1250" s="5">
        <v>67.7</v>
      </c>
      <c r="D1250" s="5">
        <v>53.1</v>
      </c>
      <c r="E1250" s="3" t="s">
        <v>11</v>
      </c>
      <c r="F1250" s="6">
        <v>45393.754861111112</v>
      </c>
    </row>
    <row r="1251" spans="1:6" x14ac:dyDescent="0.3">
      <c r="A1251" s="3">
        <v>1250</v>
      </c>
      <c r="B1251" s="4">
        <f t="shared" si="20"/>
        <v>0.78443113772455086</v>
      </c>
      <c r="C1251" s="5">
        <v>83.5</v>
      </c>
      <c r="D1251" s="5">
        <v>65.5</v>
      </c>
      <c r="E1251" s="3" t="s">
        <v>7</v>
      </c>
      <c r="F1251" s="6">
        <v>45119.513194444437</v>
      </c>
    </row>
    <row r="1252" spans="1:6" x14ac:dyDescent="0.3">
      <c r="A1252" s="3">
        <v>1251</v>
      </c>
      <c r="B1252" s="4">
        <f t="shared" si="20"/>
        <v>0.78484438430311221</v>
      </c>
      <c r="C1252" s="5">
        <v>73.900000000000006</v>
      </c>
      <c r="D1252" s="5">
        <v>58</v>
      </c>
      <c r="E1252" s="3" t="s">
        <v>11</v>
      </c>
      <c r="F1252" s="6">
        <v>44447.761805555558</v>
      </c>
    </row>
    <row r="1253" spans="1:6" x14ac:dyDescent="0.3">
      <c r="A1253" s="3">
        <v>1252</v>
      </c>
      <c r="B1253" s="4">
        <f t="shared" si="20"/>
        <v>0.78497109826589606</v>
      </c>
      <c r="C1253" s="5">
        <v>86.5</v>
      </c>
      <c r="D1253" s="5">
        <v>67.900000000000006</v>
      </c>
      <c r="E1253" s="3" t="s">
        <v>7</v>
      </c>
      <c r="F1253" s="6">
        <v>45811.509722222218</v>
      </c>
    </row>
    <row r="1254" spans="1:6" x14ac:dyDescent="0.3">
      <c r="A1254" s="3">
        <v>1253</v>
      </c>
      <c r="B1254" s="4">
        <f t="shared" si="20"/>
        <v>0.7851123595505618</v>
      </c>
      <c r="C1254" s="5">
        <v>71.2</v>
      </c>
      <c r="D1254" s="5">
        <v>55.9</v>
      </c>
      <c r="E1254" s="3" t="s">
        <v>7</v>
      </c>
      <c r="F1254" s="6">
        <v>45834.883333333331</v>
      </c>
    </row>
    <row r="1255" spans="1:6" x14ac:dyDescent="0.3">
      <c r="A1255" s="3">
        <v>1254</v>
      </c>
      <c r="B1255" s="4">
        <f t="shared" si="20"/>
        <v>0.78524229074889862</v>
      </c>
      <c r="C1255" s="5">
        <v>90.8</v>
      </c>
      <c r="D1255" s="5">
        <v>71.3</v>
      </c>
      <c r="E1255" s="3" t="s">
        <v>11</v>
      </c>
      <c r="F1255" s="6">
        <v>44862.48541666667</v>
      </c>
    </row>
    <row r="1256" spans="1:6" x14ac:dyDescent="0.3">
      <c r="A1256" s="3">
        <v>1255</v>
      </c>
      <c r="B1256" s="4">
        <f t="shared" si="20"/>
        <v>0.78541953232462169</v>
      </c>
      <c r="C1256" s="5">
        <v>72.7</v>
      </c>
      <c r="D1256" s="5">
        <v>57.1</v>
      </c>
      <c r="E1256" s="3" t="s">
        <v>7</v>
      </c>
      <c r="F1256" s="6">
        <v>45149.542361111111</v>
      </c>
    </row>
    <row r="1257" spans="1:6" x14ac:dyDescent="0.3">
      <c r="A1257" s="3">
        <v>1256</v>
      </c>
      <c r="B1257" s="4">
        <f t="shared" si="20"/>
        <v>0.7857142857142857</v>
      </c>
      <c r="C1257" s="5">
        <v>61.6</v>
      </c>
      <c r="D1257" s="5">
        <v>48.4</v>
      </c>
      <c r="E1257" s="3" t="s">
        <v>7</v>
      </c>
      <c r="F1257" s="6">
        <v>44909.561111111107</v>
      </c>
    </row>
    <row r="1258" spans="1:6" x14ac:dyDescent="0.3">
      <c r="A1258" s="3">
        <v>1257</v>
      </c>
      <c r="B1258" s="4">
        <f t="shared" si="20"/>
        <v>0.7857142857142857</v>
      </c>
      <c r="C1258" s="5">
        <v>84</v>
      </c>
      <c r="D1258" s="5">
        <v>66</v>
      </c>
      <c r="E1258" s="3" t="s">
        <v>7</v>
      </c>
      <c r="F1258" s="6">
        <v>45322.793749999997</v>
      </c>
    </row>
    <row r="1259" spans="1:6" x14ac:dyDescent="0.3">
      <c r="A1259" s="3">
        <v>1258</v>
      </c>
      <c r="B1259" s="4">
        <f t="shared" si="20"/>
        <v>0.78625954198473269</v>
      </c>
      <c r="C1259" s="5">
        <v>91.7</v>
      </c>
      <c r="D1259" s="5">
        <v>72.099999999999994</v>
      </c>
      <c r="E1259" s="3" t="s">
        <v>11</v>
      </c>
      <c r="F1259" s="6">
        <v>46052.006249999999</v>
      </c>
    </row>
    <row r="1260" spans="1:6" x14ac:dyDescent="0.3">
      <c r="A1260" s="3">
        <v>1259</v>
      </c>
      <c r="B1260" s="4">
        <f t="shared" si="20"/>
        <v>0.78636363636363638</v>
      </c>
      <c r="C1260" s="5">
        <v>66</v>
      </c>
      <c r="D1260" s="5">
        <v>51.9</v>
      </c>
      <c r="E1260" s="3" t="s">
        <v>11</v>
      </c>
      <c r="F1260" s="6">
        <v>44672.571527777778</v>
      </c>
    </row>
    <row r="1261" spans="1:6" x14ac:dyDescent="0.3">
      <c r="A1261" s="3">
        <v>1260</v>
      </c>
      <c r="B1261" s="4">
        <f t="shared" si="20"/>
        <v>0.78659793814432988</v>
      </c>
      <c r="C1261" s="5">
        <v>97</v>
      </c>
      <c r="D1261" s="5">
        <v>76.3</v>
      </c>
      <c r="E1261" s="3" t="s">
        <v>11</v>
      </c>
      <c r="F1261" s="6">
        <v>45785.137499999997</v>
      </c>
    </row>
    <row r="1262" spans="1:6" x14ac:dyDescent="0.3">
      <c r="A1262" s="3">
        <v>1261</v>
      </c>
      <c r="B1262" s="4">
        <f t="shared" si="20"/>
        <v>0.78678304239401498</v>
      </c>
      <c r="C1262" s="5">
        <v>80.2</v>
      </c>
      <c r="D1262" s="5">
        <v>63.1</v>
      </c>
      <c r="E1262" s="3" t="s">
        <v>7</v>
      </c>
      <c r="F1262" s="6">
        <v>45672.291666666657</v>
      </c>
    </row>
    <row r="1263" spans="1:6" x14ac:dyDescent="0.3">
      <c r="A1263" s="3">
        <v>1262</v>
      </c>
      <c r="B1263" s="4">
        <f t="shared" si="20"/>
        <v>0.78692220969560311</v>
      </c>
      <c r="C1263" s="5">
        <v>88.7</v>
      </c>
      <c r="D1263" s="5">
        <v>69.8</v>
      </c>
      <c r="E1263" s="3" t="s">
        <v>11</v>
      </c>
      <c r="F1263" s="6">
        <v>44832.445138888892</v>
      </c>
    </row>
    <row r="1264" spans="1:6" x14ac:dyDescent="0.3">
      <c r="A1264" s="3">
        <v>1263</v>
      </c>
      <c r="B1264" s="4">
        <f t="shared" si="20"/>
        <v>0.78715814506539838</v>
      </c>
      <c r="C1264" s="5">
        <v>84.1</v>
      </c>
      <c r="D1264" s="5">
        <v>66.2</v>
      </c>
      <c r="E1264" s="3" t="s">
        <v>7</v>
      </c>
      <c r="F1264" s="6">
        <v>46106.315972222219</v>
      </c>
    </row>
    <row r="1265" spans="1:6" x14ac:dyDescent="0.3">
      <c r="A1265" s="3">
        <v>1264</v>
      </c>
      <c r="B1265" s="4">
        <f t="shared" si="20"/>
        <v>0.7872340425531914</v>
      </c>
      <c r="C1265" s="5">
        <v>79.900000000000006</v>
      </c>
      <c r="D1265" s="5">
        <v>62.9</v>
      </c>
      <c r="E1265" s="3" t="s">
        <v>7</v>
      </c>
      <c r="F1265" s="6">
        <v>44691.011111111111</v>
      </c>
    </row>
    <row r="1266" spans="1:6" x14ac:dyDescent="0.3">
      <c r="A1266" s="3">
        <v>1265</v>
      </c>
      <c r="B1266" s="4">
        <f t="shared" si="20"/>
        <v>0.78766140602582491</v>
      </c>
      <c r="C1266" s="5">
        <v>69.7</v>
      </c>
      <c r="D1266" s="5">
        <v>54.9</v>
      </c>
      <c r="E1266" s="3" t="s">
        <v>7</v>
      </c>
      <c r="F1266" s="6">
        <v>44713.23333333333</v>
      </c>
    </row>
    <row r="1267" spans="1:6" x14ac:dyDescent="0.3">
      <c r="A1267" s="3">
        <v>1266</v>
      </c>
      <c r="B1267" s="4">
        <f t="shared" si="20"/>
        <v>0.78830083565459619</v>
      </c>
      <c r="C1267" s="5">
        <v>71.8</v>
      </c>
      <c r="D1267" s="5">
        <v>56.6</v>
      </c>
      <c r="E1267" s="3" t="s">
        <v>7</v>
      </c>
      <c r="F1267" s="6">
        <v>45667.290972222218</v>
      </c>
    </row>
    <row r="1268" spans="1:6" x14ac:dyDescent="0.3">
      <c r="A1268" s="3">
        <v>1267</v>
      </c>
      <c r="B1268" s="4">
        <f t="shared" si="20"/>
        <v>0.78883495145631066</v>
      </c>
      <c r="C1268" s="5">
        <v>82.4</v>
      </c>
      <c r="D1268" s="5">
        <v>65</v>
      </c>
      <c r="E1268" s="3" t="s">
        <v>11</v>
      </c>
      <c r="F1268" s="6">
        <v>44894.654166666667</v>
      </c>
    </row>
    <row r="1269" spans="1:6" x14ac:dyDescent="0.3">
      <c r="A1269" s="3">
        <v>1268</v>
      </c>
      <c r="B1269" s="4">
        <f t="shared" si="20"/>
        <v>0.78913324708926269</v>
      </c>
      <c r="C1269" s="5">
        <v>154.6</v>
      </c>
      <c r="D1269" s="5">
        <v>122</v>
      </c>
      <c r="E1269" s="3" t="s">
        <v>7</v>
      </c>
      <c r="F1269" s="6">
        <v>45456.7</v>
      </c>
    </row>
    <row r="1270" spans="1:6" x14ac:dyDescent="0.3">
      <c r="A1270" s="3">
        <v>1269</v>
      </c>
      <c r="B1270" s="4">
        <f t="shared" si="20"/>
        <v>0.78913738019169322</v>
      </c>
      <c r="C1270" s="5">
        <v>125.2</v>
      </c>
      <c r="D1270" s="5">
        <v>98.8</v>
      </c>
      <c r="E1270" s="3" t="s">
        <v>7</v>
      </c>
      <c r="F1270" s="6">
        <v>45317.327777777777</v>
      </c>
    </row>
    <row r="1271" spans="1:6" x14ac:dyDescent="0.3">
      <c r="A1271" s="3">
        <v>1270</v>
      </c>
      <c r="B1271" s="4">
        <f t="shared" si="20"/>
        <v>0.78947368421052633</v>
      </c>
      <c r="C1271" s="5">
        <v>72.2</v>
      </c>
      <c r="D1271" s="5">
        <v>57</v>
      </c>
      <c r="E1271" s="3" t="s">
        <v>7</v>
      </c>
      <c r="F1271" s="6">
        <v>44844.466666666667</v>
      </c>
    </row>
    <row r="1272" spans="1:6" x14ac:dyDescent="0.3">
      <c r="A1272" s="3">
        <v>1271</v>
      </c>
      <c r="B1272" s="4">
        <f t="shared" si="20"/>
        <v>0.79005524861878451</v>
      </c>
      <c r="C1272" s="5">
        <v>72.400000000000006</v>
      </c>
      <c r="D1272" s="5">
        <v>57.2</v>
      </c>
      <c r="E1272" s="3" t="s">
        <v>11</v>
      </c>
      <c r="F1272" s="6">
        <v>45363.52847222222</v>
      </c>
    </row>
    <row r="1273" spans="1:6" x14ac:dyDescent="0.3">
      <c r="A1273" s="3">
        <v>1272</v>
      </c>
      <c r="B1273" s="4">
        <f t="shared" si="20"/>
        <v>0.79017013232514177</v>
      </c>
      <c r="C1273" s="5">
        <v>52.9</v>
      </c>
      <c r="D1273" s="5">
        <v>41.8</v>
      </c>
      <c r="E1273" s="3" t="s">
        <v>7</v>
      </c>
      <c r="F1273" s="6">
        <v>45964.615277777782</v>
      </c>
    </row>
    <row r="1274" spans="1:6" x14ac:dyDescent="0.3">
      <c r="A1274" s="3">
        <v>1273</v>
      </c>
      <c r="B1274" s="4">
        <f t="shared" si="20"/>
        <v>0.79056386651323363</v>
      </c>
      <c r="C1274" s="5">
        <v>86.9</v>
      </c>
      <c r="D1274" s="5">
        <v>68.7</v>
      </c>
      <c r="E1274" s="3" t="s">
        <v>7</v>
      </c>
      <c r="F1274" s="6">
        <v>45824.163194444453</v>
      </c>
    </row>
    <row r="1275" spans="1:6" x14ac:dyDescent="0.3">
      <c r="A1275" s="3">
        <v>1274</v>
      </c>
      <c r="B1275" s="4">
        <f t="shared" si="20"/>
        <v>0.79166666666666663</v>
      </c>
      <c r="C1275" s="5">
        <v>141.6</v>
      </c>
      <c r="D1275" s="5">
        <v>112.1</v>
      </c>
      <c r="E1275" s="3" t="s">
        <v>11</v>
      </c>
      <c r="F1275" s="6">
        <v>46083.492361111108</v>
      </c>
    </row>
    <row r="1276" spans="1:6" x14ac:dyDescent="0.3">
      <c r="A1276" s="3">
        <v>1275</v>
      </c>
      <c r="B1276" s="4">
        <f t="shared" si="20"/>
        <v>0.79195561719833574</v>
      </c>
      <c r="C1276" s="5">
        <v>72.099999999999994</v>
      </c>
      <c r="D1276" s="5">
        <v>57.1</v>
      </c>
      <c r="E1276" s="3" t="s">
        <v>11</v>
      </c>
      <c r="F1276" s="6">
        <v>44979.523611111108</v>
      </c>
    </row>
    <row r="1277" spans="1:6" x14ac:dyDescent="0.3">
      <c r="A1277" s="3">
        <v>1276</v>
      </c>
      <c r="B1277" s="4">
        <f t="shared" si="20"/>
        <v>0.79211229946524064</v>
      </c>
      <c r="C1277" s="5">
        <v>149.6</v>
      </c>
      <c r="D1277" s="5">
        <v>118.5</v>
      </c>
      <c r="E1277" s="3" t="s">
        <v>11</v>
      </c>
      <c r="F1277" s="6">
        <v>45161.726388888892</v>
      </c>
    </row>
    <row r="1278" spans="1:6" x14ac:dyDescent="0.3">
      <c r="A1278" s="3">
        <v>1277</v>
      </c>
      <c r="B1278" s="4">
        <f t="shared" si="20"/>
        <v>0.79211469534050183</v>
      </c>
      <c r="C1278" s="5">
        <v>55.8</v>
      </c>
      <c r="D1278" s="5">
        <v>44.2</v>
      </c>
      <c r="E1278" s="3" t="s">
        <v>11</v>
      </c>
      <c r="F1278" s="6">
        <v>45807.53125</v>
      </c>
    </row>
    <row r="1279" spans="1:6" x14ac:dyDescent="0.3">
      <c r="A1279" s="3">
        <v>1278</v>
      </c>
      <c r="B1279" s="4">
        <f t="shared" si="20"/>
        <v>0.79211956521739135</v>
      </c>
      <c r="C1279" s="5">
        <v>73.599999999999994</v>
      </c>
      <c r="D1279" s="5">
        <v>58.3</v>
      </c>
      <c r="E1279" s="3" t="s">
        <v>11</v>
      </c>
      <c r="F1279" s="6">
        <v>45772.815972222219</v>
      </c>
    </row>
    <row r="1280" spans="1:6" x14ac:dyDescent="0.3">
      <c r="A1280" s="3">
        <v>1279</v>
      </c>
      <c r="B1280" s="4">
        <f t="shared" si="20"/>
        <v>0.79242636746143058</v>
      </c>
      <c r="C1280" s="5">
        <v>71.3</v>
      </c>
      <c r="D1280" s="5">
        <v>56.5</v>
      </c>
      <c r="E1280" s="3" t="s">
        <v>11</v>
      </c>
      <c r="F1280" s="6">
        <v>45874.6875</v>
      </c>
    </row>
    <row r="1281" spans="1:6" x14ac:dyDescent="0.3">
      <c r="A1281" s="3">
        <v>1280</v>
      </c>
      <c r="B1281" s="4">
        <f t="shared" si="20"/>
        <v>0.79252704031465082</v>
      </c>
      <c r="C1281" s="5">
        <v>101.7</v>
      </c>
      <c r="D1281" s="5">
        <v>80.599999999999994</v>
      </c>
      <c r="E1281" s="3" t="s">
        <v>11</v>
      </c>
      <c r="F1281" s="6">
        <v>46104.775694444441</v>
      </c>
    </row>
    <row r="1282" spans="1:6" x14ac:dyDescent="0.3">
      <c r="A1282" s="3">
        <v>1281</v>
      </c>
      <c r="B1282" s="4">
        <f t="shared" ref="B1282:B1345" si="21">D1282/C1282</f>
        <v>0.79260237780713338</v>
      </c>
      <c r="C1282" s="5">
        <v>75.7</v>
      </c>
      <c r="D1282" s="5">
        <v>60</v>
      </c>
      <c r="E1282" s="3" t="s">
        <v>11</v>
      </c>
      <c r="F1282" s="6">
        <v>45107.31527777778</v>
      </c>
    </row>
    <row r="1283" spans="1:6" x14ac:dyDescent="0.3">
      <c r="A1283" s="3">
        <v>1282</v>
      </c>
      <c r="B1283" s="4">
        <f t="shared" si="21"/>
        <v>0.7946428571428571</v>
      </c>
      <c r="C1283" s="5">
        <v>56</v>
      </c>
      <c r="D1283" s="5">
        <v>44.5</v>
      </c>
      <c r="E1283" s="3" t="s">
        <v>11</v>
      </c>
      <c r="F1283" s="6">
        <v>44798.774305555547</v>
      </c>
    </row>
    <row r="1284" spans="1:6" x14ac:dyDescent="0.3">
      <c r="A1284" s="3">
        <v>1283</v>
      </c>
      <c r="B1284" s="4">
        <f t="shared" si="21"/>
        <v>0.7946428571428571</v>
      </c>
      <c r="C1284" s="5">
        <v>67.2</v>
      </c>
      <c r="D1284" s="5">
        <v>53.4</v>
      </c>
      <c r="E1284" s="3" t="s">
        <v>11</v>
      </c>
      <c r="F1284" s="6">
        <v>46051.613888888889</v>
      </c>
    </row>
    <row r="1285" spans="1:6" x14ac:dyDescent="0.3">
      <c r="A1285" s="3">
        <v>1284</v>
      </c>
      <c r="B1285" s="4">
        <f t="shared" si="21"/>
        <v>0.79505664263645737</v>
      </c>
      <c r="C1285" s="5">
        <v>97.1</v>
      </c>
      <c r="D1285" s="5">
        <v>77.2</v>
      </c>
      <c r="E1285" s="3" t="s">
        <v>7</v>
      </c>
      <c r="F1285" s="6">
        <v>45124.276388888888</v>
      </c>
    </row>
    <row r="1286" spans="1:6" x14ac:dyDescent="0.3">
      <c r="A1286" s="3">
        <v>1285</v>
      </c>
      <c r="B1286" s="4">
        <f t="shared" si="21"/>
        <v>0.79542857142857137</v>
      </c>
      <c r="C1286" s="5">
        <v>87.5</v>
      </c>
      <c r="D1286" s="5">
        <v>69.599999999999994</v>
      </c>
      <c r="E1286" s="3" t="s">
        <v>7</v>
      </c>
      <c r="F1286" s="6">
        <v>44610.67291666667</v>
      </c>
    </row>
    <row r="1287" spans="1:6" x14ac:dyDescent="0.3">
      <c r="A1287" s="3">
        <v>1286</v>
      </c>
      <c r="B1287" s="4">
        <f t="shared" si="21"/>
        <v>0.79627329192546581</v>
      </c>
      <c r="C1287" s="5">
        <v>80.5</v>
      </c>
      <c r="D1287" s="5">
        <v>64.099999999999994</v>
      </c>
      <c r="E1287" s="3" t="s">
        <v>11</v>
      </c>
      <c r="F1287" s="6">
        <v>45798.71597222222</v>
      </c>
    </row>
    <row r="1288" spans="1:6" x14ac:dyDescent="0.3">
      <c r="A1288" s="3">
        <v>1287</v>
      </c>
      <c r="B1288" s="4">
        <f t="shared" si="21"/>
        <v>0.79638752052545159</v>
      </c>
      <c r="C1288" s="5">
        <v>60.9</v>
      </c>
      <c r="D1288" s="5">
        <v>48.5</v>
      </c>
      <c r="E1288" s="3" t="s">
        <v>11</v>
      </c>
      <c r="F1288" s="6">
        <v>46093.490972222222</v>
      </c>
    </row>
    <row r="1289" spans="1:6" x14ac:dyDescent="0.3">
      <c r="A1289" s="3">
        <v>1288</v>
      </c>
      <c r="B1289" s="4">
        <f t="shared" si="21"/>
        <v>0.79640718562874246</v>
      </c>
      <c r="C1289" s="5">
        <v>50.1</v>
      </c>
      <c r="D1289" s="5">
        <v>39.9</v>
      </c>
      <c r="E1289" s="3" t="s">
        <v>11</v>
      </c>
      <c r="F1289" s="6">
        <v>46104.068055555559</v>
      </c>
    </row>
    <row r="1290" spans="1:6" x14ac:dyDescent="0.3">
      <c r="A1290" s="3">
        <v>1289</v>
      </c>
      <c r="B1290" s="4">
        <f t="shared" si="21"/>
        <v>0.79661016949152541</v>
      </c>
      <c r="C1290" s="5">
        <v>70.8</v>
      </c>
      <c r="D1290" s="5">
        <v>56.4</v>
      </c>
      <c r="E1290" s="3" t="s">
        <v>11</v>
      </c>
      <c r="F1290" s="6">
        <v>46107.611111111109</v>
      </c>
    </row>
    <row r="1291" spans="1:6" x14ac:dyDescent="0.3">
      <c r="A1291" s="3">
        <v>1290</v>
      </c>
      <c r="B1291" s="4">
        <f t="shared" si="21"/>
        <v>0.79672695951765726</v>
      </c>
      <c r="C1291" s="5">
        <v>116.1</v>
      </c>
      <c r="D1291" s="5">
        <v>92.5</v>
      </c>
      <c r="E1291" s="3" t="s">
        <v>11</v>
      </c>
      <c r="F1291" s="6">
        <v>44907.575694444437</v>
      </c>
    </row>
    <row r="1292" spans="1:6" x14ac:dyDescent="0.3">
      <c r="A1292" s="3">
        <v>1291</v>
      </c>
      <c r="B1292" s="4">
        <f t="shared" si="21"/>
        <v>0.79690949227373076</v>
      </c>
      <c r="C1292" s="5">
        <v>90.6</v>
      </c>
      <c r="D1292" s="5">
        <v>72.2</v>
      </c>
      <c r="E1292" s="3" t="s">
        <v>11</v>
      </c>
      <c r="F1292" s="6">
        <v>44532.543055555558</v>
      </c>
    </row>
    <row r="1293" spans="1:6" x14ac:dyDescent="0.3">
      <c r="A1293" s="3">
        <v>1292</v>
      </c>
      <c r="B1293" s="4">
        <f t="shared" si="21"/>
        <v>0.79732313575525826</v>
      </c>
      <c r="C1293" s="5">
        <v>52.3</v>
      </c>
      <c r="D1293" s="5">
        <v>41.7</v>
      </c>
      <c r="E1293" s="3" t="s">
        <v>11</v>
      </c>
      <c r="F1293" s="6">
        <v>45252.511805555558</v>
      </c>
    </row>
    <row r="1294" spans="1:6" x14ac:dyDescent="0.3">
      <c r="A1294" s="3">
        <v>1293</v>
      </c>
      <c r="B1294" s="4">
        <f t="shared" si="21"/>
        <v>0.79863013698630136</v>
      </c>
      <c r="C1294" s="5">
        <v>73</v>
      </c>
      <c r="D1294" s="5">
        <v>58.3</v>
      </c>
      <c r="E1294" s="3" t="s">
        <v>11</v>
      </c>
      <c r="F1294" s="6">
        <v>45091.785416666673</v>
      </c>
    </row>
    <row r="1295" spans="1:6" x14ac:dyDescent="0.3">
      <c r="A1295" s="3">
        <v>1294</v>
      </c>
      <c r="B1295" s="4">
        <f t="shared" si="21"/>
        <v>0.79880239520958085</v>
      </c>
      <c r="C1295" s="5">
        <v>83.5</v>
      </c>
      <c r="D1295" s="5">
        <v>66.7</v>
      </c>
      <c r="E1295" s="3" t="s">
        <v>11</v>
      </c>
      <c r="F1295" s="6">
        <v>44874.679861111108</v>
      </c>
    </row>
    <row r="1296" spans="1:6" x14ac:dyDescent="0.3">
      <c r="A1296" s="3">
        <v>1295</v>
      </c>
      <c r="B1296" s="4">
        <f t="shared" si="21"/>
        <v>0.79892761394101885</v>
      </c>
      <c r="C1296" s="5">
        <v>149.19999999999999</v>
      </c>
      <c r="D1296" s="5">
        <v>119.2</v>
      </c>
      <c r="E1296" s="3" t="s">
        <v>11</v>
      </c>
      <c r="F1296" s="6">
        <v>45295.435416666667</v>
      </c>
    </row>
    <row r="1297" spans="1:6" x14ac:dyDescent="0.3">
      <c r="A1297" s="3">
        <v>1296</v>
      </c>
      <c r="B1297" s="4">
        <f t="shared" si="21"/>
        <v>0.79896907216494839</v>
      </c>
      <c r="C1297" s="5">
        <v>58.2</v>
      </c>
      <c r="D1297" s="5">
        <v>46.5</v>
      </c>
      <c r="E1297" s="3" t="s">
        <v>7</v>
      </c>
      <c r="F1297" s="6">
        <v>45461.518750000003</v>
      </c>
    </row>
    <row r="1298" spans="1:6" x14ac:dyDescent="0.3">
      <c r="A1298" s="3">
        <v>1297</v>
      </c>
      <c r="B1298" s="4">
        <f t="shared" si="21"/>
        <v>0.79978813559322026</v>
      </c>
      <c r="C1298" s="5">
        <v>94.4</v>
      </c>
      <c r="D1298" s="5">
        <v>75.5</v>
      </c>
      <c r="E1298" s="3" t="s">
        <v>11</v>
      </c>
      <c r="F1298" s="6">
        <v>44739.638194444437</v>
      </c>
    </row>
    <row r="1299" spans="1:6" x14ac:dyDescent="0.3">
      <c r="A1299" s="3">
        <v>1298</v>
      </c>
      <c r="B1299" s="4">
        <f t="shared" si="21"/>
        <v>0.79999999999999993</v>
      </c>
      <c r="C1299" s="5">
        <v>66</v>
      </c>
      <c r="D1299" s="5">
        <v>52.8</v>
      </c>
      <c r="E1299" s="3" t="s">
        <v>7</v>
      </c>
      <c r="F1299" s="6">
        <v>45666.445833333331</v>
      </c>
    </row>
    <row r="1300" spans="1:6" x14ac:dyDescent="0.3">
      <c r="A1300" s="3">
        <v>1299</v>
      </c>
      <c r="B1300" s="4">
        <f t="shared" si="21"/>
        <v>0.8</v>
      </c>
      <c r="C1300" s="5">
        <v>56.5</v>
      </c>
      <c r="D1300" s="5">
        <v>45.2</v>
      </c>
      <c r="E1300" s="3" t="s">
        <v>11</v>
      </c>
      <c r="F1300" s="6">
        <v>46216.345138888893</v>
      </c>
    </row>
    <row r="1301" spans="1:6" x14ac:dyDescent="0.3">
      <c r="A1301" s="3">
        <v>1300</v>
      </c>
      <c r="B1301" s="4">
        <f t="shared" si="21"/>
        <v>0.80023228803716617</v>
      </c>
      <c r="C1301" s="5">
        <v>86.1</v>
      </c>
      <c r="D1301" s="5">
        <v>68.900000000000006</v>
      </c>
      <c r="E1301" s="3" t="s">
        <v>7</v>
      </c>
      <c r="F1301" s="6">
        <v>44928.666666666657</v>
      </c>
    </row>
    <row r="1302" spans="1:6" x14ac:dyDescent="0.3">
      <c r="A1302" s="3">
        <v>1301</v>
      </c>
      <c r="B1302" s="4">
        <f t="shared" si="21"/>
        <v>0.80052840158520477</v>
      </c>
      <c r="C1302" s="5">
        <v>75.7</v>
      </c>
      <c r="D1302" s="5">
        <v>60.6</v>
      </c>
      <c r="E1302" s="3" t="s">
        <v>11</v>
      </c>
      <c r="F1302" s="6">
        <v>44986.543055555558</v>
      </c>
    </row>
    <row r="1303" spans="1:6" x14ac:dyDescent="0.3">
      <c r="A1303" s="3">
        <v>1302</v>
      </c>
      <c r="B1303" s="4">
        <f t="shared" si="21"/>
        <v>0.80054151624548742</v>
      </c>
      <c r="C1303" s="5">
        <v>110.8</v>
      </c>
      <c r="D1303" s="5">
        <v>88.7</v>
      </c>
      <c r="E1303" s="3" t="s">
        <v>7</v>
      </c>
      <c r="F1303" s="6">
        <v>44832.438888888893</v>
      </c>
    </row>
    <row r="1304" spans="1:6" x14ac:dyDescent="0.3">
      <c r="A1304" s="3">
        <v>1303</v>
      </c>
      <c r="B1304" s="4">
        <f t="shared" si="21"/>
        <v>0.80094043887147337</v>
      </c>
      <c r="C1304" s="5">
        <v>63.8</v>
      </c>
      <c r="D1304" s="5">
        <v>51.1</v>
      </c>
      <c r="E1304" s="3" t="s">
        <v>11</v>
      </c>
      <c r="F1304" s="6">
        <v>45987.487500000003</v>
      </c>
    </row>
    <row r="1305" spans="1:6" x14ac:dyDescent="0.3">
      <c r="A1305" s="3">
        <v>1304</v>
      </c>
      <c r="B1305" s="4">
        <f t="shared" si="21"/>
        <v>0.80171184022824549</v>
      </c>
      <c r="C1305" s="5">
        <v>70.099999999999994</v>
      </c>
      <c r="D1305" s="5">
        <v>56.2</v>
      </c>
      <c r="E1305" s="3" t="s">
        <v>11</v>
      </c>
      <c r="F1305" s="6">
        <v>45686.722916666673</v>
      </c>
    </row>
    <row r="1306" spans="1:6" x14ac:dyDescent="0.3">
      <c r="A1306" s="3">
        <v>1305</v>
      </c>
      <c r="B1306" s="4">
        <f t="shared" si="21"/>
        <v>0.80181543116490173</v>
      </c>
      <c r="C1306" s="5">
        <v>66.099999999999994</v>
      </c>
      <c r="D1306" s="5">
        <v>53</v>
      </c>
      <c r="E1306" s="3" t="s">
        <v>11</v>
      </c>
      <c r="F1306" s="6">
        <v>44852.695833333331</v>
      </c>
    </row>
    <row r="1307" spans="1:6" x14ac:dyDescent="0.3">
      <c r="A1307" s="3">
        <v>1306</v>
      </c>
      <c r="B1307" s="4">
        <f t="shared" si="21"/>
        <v>0.80212483399734402</v>
      </c>
      <c r="C1307" s="5">
        <v>75.3</v>
      </c>
      <c r="D1307" s="5">
        <v>60.4</v>
      </c>
      <c r="E1307" s="3" t="s">
        <v>11</v>
      </c>
      <c r="F1307" s="6">
        <v>45260.667361111111</v>
      </c>
    </row>
    <row r="1308" spans="1:6" x14ac:dyDescent="0.3">
      <c r="A1308" s="3">
        <v>1307</v>
      </c>
      <c r="B1308" s="4">
        <f t="shared" si="21"/>
        <v>0.80252100840336127</v>
      </c>
      <c r="C1308" s="5">
        <v>71.400000000000006</v>
      </c>
      <c r="D1308" s="5">
        <v>57.3</v>
      </c>
      <c r="E1308" s="3" t="s">
        <v>11</v>
      </c>
      <c r="F1308" s="6">
        <v>44798.618055555547</v>
      </c>
    </row>
    <row r="1309" spans="1:6" x14ac:dyDescent="0.3">
      <c r="A1309" s="3">
        <v>1308</v>
      </c>
      <c r="B1309" s="4">
        <f t="shared" si="21"/>
        <v>0.80392156862745101</v>
      </c>
      <c r="C1309" s="5">
        <v>66.3</v>
      </c>
      <c r="D1309" s="5">
        <v>53.3</v>
      </c>
      <c r="E1309" s="3" t="s">
        <v>7</v>
      </c>
      <c r="F1309" s="6">
        <v>45310.634027777778</v>
      </c>
    </row>
    <row r="1310" spans="1:6" x14ac:dyDescent="0.3">
      <c r="A1310" s="3">
        <v>1309</v>
      </c>
      <c r="B1310" s="4">
        <f t="shared" si="21"/>
        <v>0.80485436893203888</v>
      </c>
      <c r="C1310" s="5">
        <v>103</v>
      </c>
      <c r="D1310" s="5">
        <v>82.9</v>
      </c>
      <c r="E1310" s="3" t="s">
        <v>7</v>
      </c>
      <c r="F1310" s="6">
        <v>44876.063194444447</v>
      </c>
    </row>
    <row r="1311" spans="1:6" x14ac:dyDescent="0.3">
      <c r="A1311" s="3">
        <v>1310</v>
      </c>
      <c r="B1311" s="4">
        <f t="shared" si="21"/>
        <v>0.80503144654088055</v>
      </c>
      <c r="C1311" s="5">
        <v>63.6</v>
      </c>
      <c r="D1311" s="5">
        <v>51.2</v>
      </c>
      <c r="E1311" s="3" t="s">
        <v>7</v>
      </c>
      <c r="F1311" s="6">
        <v>44784.452777777777</v>
      </c>
    </row>
    <row r="1312" spans="1:6" x14ac:dyDescent="0.3">
      <c r="A1312" s="3">
        <v>1311</v>
      </c>
      <c r="B1312" s="4">
        <f t="shared" si="21"/>
        <v>0.80506329113924058</v>
      </c>
      <c r="C1312" s="5">
        <v>79</v>
      </c>
      <c r="D1312" s="5">
        <v>63.6</v>
      </c>
      <c r="E1312" s="3" t="s">
        <v>7</v>
      </c>
      <c r="F1312" s="6">
        <v>45155.381944444453</v>
      </c>
    </row>
    <row r="1313" spans="1:6" x14ac:dyDescent="0.3">
      <c r="A1313" s="3">
        <v>1312</v>
      </c>
      <c r="B1313" s="4">
        <f t="shared" si="21"/>
        <v>0.80586907449209944</v>
      </c>
      <c r="C1313" s="5">
        <v>88.6</v>
      </c>
      <c r="D1313" s="5">
        <v>71.400000000000006</v>
      </c>
      <c r="E1313" s="3" t="s">
        <v>7</v>
      </c>
      <c r="F1313" s="6">
        <v>46163.570833333331</v>
      </c>
    </row>
    <row r="1314" spans="1:6" x14ac:dyDescent="0.3">
      <c r="A1314" s="3">
        <v>1313</v>
      </c>
      <c r="B1314" s="4">
        <f t="shared" si="21"/>
        <v>0.80636237897648688</v>
      </c>
      <c r="C1314" s="5">
        <v>72.3</v>
      </c>
      <c r="D1314" s="5">
        <v>58.3</v>
      </c>
      <c r="E1314" s="3" t="s">
        <v>11</v>
      </c>
      <c r="F1314" s="6">
        <v>44617.681944444441</v>
      </c>
    </row>
    <row r="1315" spans="1:6" x14ac:dyDescent="0.3">
      <c r="A1315" s="3">
        <v>1314</v>
      </c>
      <c r="B1315" s="4">
        <f t="shared" si="21"/>
        <v>0.80662983425414359</v>
      </c>
      <c r="C1315" s="5">
        <v>54.3</v>
      </c>
      <c r="D1315" s="5">
        <v>43.8</v>
      </c>
      <c r="E1315" s="3" t="s">
        <v>11</v>
      </c>
      <c r="F1315" s="6">
        <v>44795.561111111107</v>
      </c>
    </row>
    <row r="1316" spans="1:6" x14ac:dyDescent="0.3">
      <c r="A1316" s="3">
        <v>1315</v>
      </c>
      <c r="B1316" s="4">
        <f t="shared" si="21"/>
        <v>0.80689655172413788</v>
      </c>
      <c r="C1316" s="5">
        <v>72.5</v>
      </c>
      <c r="D1316" s="5">
        <v>58.5</v>
      </c>
      <c r="E1316" s="3" t="s">
        <v>7</v>
      </c>
      <c r="F1316" s="6">
        <v>45845.710416666669</v>
      </c>
    </row>
    <row r="1317" spans="1:6" x14ac:dyDescent="0.3">
      <c r="A1317" s="3">
        <v>1316</v>
      </c>
      <c r="B1317" s="4">
        <f t="shared" si="21"/>
        <v>0.80700447093889727</v>
      </c>
      <c r="C1317" s="5">
        <v>134.19999999999999</v>
      </c>
      <c r="D1317" s="5">
        <v>108.3</v>
      </c>
      <c r="E1317" s="3" t="s">
        <v>7</v>
      </c>
      <c r="F1317" s="6">
        <v>44964.78402777778</v>
      </c>
    </row>
    <row r="1318" spans="1:6" x14ac:dyDescent="0.3">
      <c r="A1318" s="3">
        <v>1317</v>
      </c>
      <c r="B1318" s="4">
        <f t="shared" si="21"/>
        <v>0.80712166172106814</v>
      </c>
      <c r="C1318" s="5">
        <v>67.400000000000006</v>
      </c>
      <c r="D1318" s="5">
        <v>54.4</v>
      </c>
      <c r="E1318" s="3" t="s">
        <v>7</v>
      </c>
      <c r="F1318" s="6">
        <v>44859.245833333327</v>
      </c>
    </row>
    <row r="1319" spans="1:6" x14ac:dyDescent="0.3">
      <c r="A1319" s="3">
        <v>1318</v>
      </c>
      <c r="B1319" s="4">
        <f t="shared" si="21"/>
        <v>0.80729166666666663</v>
      </c>
      <c r="C1319" s="5">
        <v>57.6</v>
      </c>
      <c r="D1319" s="5">
        <v>46.5</v>
      </c>
      <c r="E1319" s="3" t="s">
        <v>7</v>
      </c>
      <c r="F1319" s="6">
        <v>46198.497916666667</v>
      </c>
    </row>
    <row r="1320" spans="1:6" x14ac:dyDescent="0.3">
      <c r="A1320" s="3">
        <v>1319</v>
      </c>
      <c r="B1320" s="4">
        <f t="shared" si="21"/>
        <v>0.80806845965770169</v>
      </c>
      <c r="C1320" s="5">
        <v>81.8</v>
      </c>
      <c r="D1320" s="5">
        <v>66.099999999999994</v>
      </c>
      <c r="E1320" s="3" t="s">
        <v>11</v>
      </c>
      <c r="F1320" s="6">
        <v>45247.529861111107</v>
      </c>
    </row>
    <row r="1321" spans="1:6" x14ac:dyDescent="0.3">
      <c r="A1321" s="3">
        <v>1320</v>
      </c>
      <c r="B1321" s="4">
        <f t="shared" si="21"/>
        <v>0.80848484848484847</v>
      </c>
      <c r="C1321" s="5">
        <v>82.5</v>
      </c>
      <c r="D1321" s="5">
        <v>66.7</v>
      </c>
      <c r="E1321" s="3" t="s">
        <v>11</v>
      </c>
      <c r="F1321" s="6">
        <v>44879.540972222218</v>
      </c>
    </row>
    <row r="1322" spans="1:6" x14ac:dyDescent="0.3">
      <c r="A1322" s="3">
        <v>1321</v>
      </c>
      <c r="B1322" s="4">
        <f t="shared" si="21"/>
        <v>0.80997798972853996</v>
      </c>
      <c r="C1322" s="5">
        <v>136.30000000000001</v>
      </c>
      <c r="D1322" s="5">
        <v>110.4</v>
      </c>
      <c r="E1322" s="3" t="s">
        <v>11</v>
      </c>
      <c r="F1322" s="6">
        <v>44750.518055555563</v>
      </c>
    </row>
    <row r="1323" spans="1:6" x14ac:dyDescent="0.3">
      <c r="A1323" s="3">
        <v>1322</v>
      </c>
      <c r="B1323" s="4">
        <f t="shared" si="21"/>
        <v>0.81132075471698106</v>
      </c>
      <c r="C1323" s="5">
        <v>137.80000000000001</v>
      </c>
      <c r="D1323" s="5">
        <v>111.8</v>
      </c>
      <c r="E1323" s="3" t="s">
        <v>11</v>
      </c>
      <c r="F1323" s="6">
        <v>44915.370138888888</v>
      </c>
    </row>
    <row r="1324" spans="1:6" x14ac:dyDescent="0.3">
      <c r="A1324" s="3">
        <v>1323</v>
      </c>
      <c r="B1324" s="4">
        <f t="shared" si="21"/>
        <v>0.81163708086785002</v>
      </c>
      <c r="C1324" s="5">
        <v>101.4</v>
      </c>
      <c r="D1324" s="5">
        <v>82.3</v>
      </c>
      <c r="E1324" s="3" t="s">
        <v>11</v>
      </c>
      <c r="F1324" s="6">
        <v>44857.989583333343</v>
      </c>
    </row>
    <row r="1325" spans="1:6" x14ac:dyDescent="0.3">
      <c r="A1325" s="3">
        <v>1324</v>
      </c>
      <c r="B1325" s="4">
        <f t="shared" si="21"/>
        <v>0.8120393120393119</v>
      </c>
      <c r="C1325" s="5">
        <v>81.400000000000006</v>
      </c>
      <c r="D1325" s="5">
        <v>66.099999999999994</v>
      </c>
      <c r="E1325" s="3" t="s">
        <v>7</v>
      </c>
      <c r="F1325" s="6">
        <v>46042.836111111108</v>
      </c>
    </row>
    <row r="1326" spans="1:6" x14ac:dyDescent="0.3">
      <c r="A1326" s="3">
        <v>1325</v>
      </c>
      <c r="B1326" s="4">
        <f t="shared" si="21"/>
        <v>0.81219903691813811</v>
      </c>
      <c r="C1326" s="5">
        <v>62.3</v>
      </c>
      <c r="D1326" s="5">
        <v>50.6</v>
      </c>
      <c r="E1326" s="3" t="s">
        <v>7</v>
      </c>
      <c r="F1326" s="6">
        <v>44862.591666666667</v>
      </c>
    </row>
    <row r="1327" spans="1:6" x14ac:dyDescent="0.3">
      <c r="A1327" s="3">
        <v>1326</v>
      </c>
      <c r="B1327" s="4">
        <f t="shared" si="21"/>
        <v>0.81278538812785384</v>
      </c>
      <c r="C1327" s="5">
        <v>65.7</v>
      </c>
      <c r="D1327" s="5">
        <v>53.4</v>
      </c>
      <c r="E1327" s="3" t="s">
        <v>7</v>
      </c>
      <c r="F1327" s="6">
        <v>44889.354861111111</v>
      </c>
    </row>
    <row r="1328" spans="1:6" x14ac:dyDescent="0.3">
      <c r="A1328" s="3">
        <v>1327</v>
      </c>
      <c r="B1328" s="4">
        <f t="shared" si="21"/>
        <v>0.81300813008130091</v>
      </c>
      <c r="C1328" s="5">
        <v>86.1</v>
      </c>
      <c r="D1328" s="5">
        <v>70</v>
      </c>
      <c r="E1328" s="3" t="s">
        <v>7</v>
      </c>
      <c r="F1328" s="6">
        <v>44641.470833333333</v>
      </c>
    </row>
    <row r="1329" spans="1:6" x14ac:dyDescent="0.3">
      <c r="A1329" s="3">
        <v>1328</v>
      </c>
      <c r="B1329" s="4">
        <f t="shared" si="21"/>
        <v>0.81311881188118817</v>
      </c>
      <c r="C1329" s="5">
        <v>80.8</v>
      </c>
      <c r="D1329" s="5">
        <v>65.7</v>
      </c>
      <c r="E1329" s="3" t="s">
        <v>7</v>
      </c>
      <c r="F1329" s="6">
        <v>45715.20416666667</v>
      </c>
    </row>
    <row r="1330" spans="1:6" x14ac:dyDescent="0.3">
      <c r="A1330" s="3">
        <v>1329</v>
      </c>
      <c r="B1330" s="4">
        <f t="shared" si="21"/>
        <v>0.81315396113602378</v>
      </c>
      <c r="C1330" s="5">
        <v>66.900000000000006</v>
      </c>
      <c r="D1330" s="5">
        <v>54.4</v>
      </c>
      <c r="E1330" s="3" t="s">
        <v>7</v>
      </c>
      <c r="F1330" s="6">
        <v>44999.524305555547</v>
      </c>
    </row>
    <row r="1331" spans="1:6" x14ac:dyDescent="0.3">
      <c r="A1331" s="3">
        <v>1330</v>
      </c>
      <c r="B1331" s="4">
        <f t="shared" si="21"/>
        <v>0.81328545780969475</v>
      </c>
      <c r="C1331" s="5">
        <v>55.7</v>
      </c>
      <c r="D1331" s="5">
        <v>45.3</v>
      </c>
      <c r="E1331" s="3" t="s">
        <v>7</v>
      </c>
      <c r="F1331" s="6">
        <v>45050.543055555558</v>
      </c>
    </row>
    <row r="1332" spans="1:6" x14ac:dyDescent="0.3">
      <c r="A1332" s="3">
        <v>1331</v>
      </c>
      <c r="B1332" s="4">
        <f t="shared" si="21"/>
        <v>0.81333333333333335</v>
      </c>
      <c r="C1332" s="5">
        <v>127.5</v>
      </c>
      <c r="D1332" s="5">
        <v>103.7</v>
      </c>
      <c r="E1332" s="3" t="s">
        <v>11</v>
      </c>
      <c r="F1332" s="6">
        <v>44971.633333333331</v>
      </c>
    </row>
    <row r="1333" spans="1:6" x14ac:dyDescent="0.3">
      <c r="A1333" s="3">
        <v>1332</v>
      </c>
      <c r="B1333" s="4">
        <f t="shared" si="21"/>
        <v>0.81400966183574885</v>
      </c>
      <c r="C1333" s="5">
        <v>82.8</v>
      </c>
      <c r="D1333" s="5">
        <v>67.400000000000006</v>
      </c>
      <c r="E1333" s="3" t="s">
        <v>7</v>
      </c>
      <c r="F1333" s="6">
        <v>44756.706944444442</v>
      </c>
    </row>
    <row r="1334" spans="1:6" x14ac:dyDescent="0.3">
      <c r="A1334" s="3">
        <v>1333</v>
      </c>
      <c r="B1334" s="4">
        <f t="shared" si="21"/>
        <v>0.81407702523240366</v>
      </c>
      <c r="C1334" s="5">
        <v>75.3</v>
      </c>
      <c r="D1334" s="5">
        <v>61.3</v>
      </c>
      <c r="E1334" s="3" t="s">
        <v>7</v>
      </c>
      <c r="F1334" s="6">
        <v>45434.490277777782</v>
      </c>
    </row>
    <row r="1335" spans="1:6" x14ac:dyDescent="0.3">
      <c r="A1335" s="3">
        <v>1334</v>
      </c>
      <c r="B1335" s="4">
        <f t="shared" si="21"/>
        <v>0.81519274376417239</v>
      </c>
      <c r="C1335" s="5">
        <v>88.2</v>
      </c>
      <c r="D1335" s="5">
        <v>71.900000000000006</v>
      </c>
      <c r="E1335" s="3" t="s">
        <v>7</v>
      </c>
      <c r="F1335" s="6">
        <v>45755.394444444442</v>
      </c>
    </row>
    <row r="1336" spans="1:6" x14ac:dyDescent="0.3">
      <c r="A1336" s="3">
        <v>1335</v>
      </c>
      <c r="B1336" s="4">
        <f t="shared" si="21"/>
        <v>0.81548974943052388</v>
      </c>
      <c r="C1336" s="5">
        <v>87.8</v>
      </c>
      <c r="D1336" s="5">
        <v>71.599999999999994</v>
      </c>
      <c r="E1336" s="3" t="s">
        <v>7</v>
      </c>
      <c r="F1336" s="6">
        <v>44495.711805555547</v>
      </c>
    </row>
    <row r="1337" spans="1:6" x14ac:dyDescent="0.3">
      <c r="A1337" s="3">
        <v>1336</v>
      </c>
      <c r="B1337" s="4">
        <f t="shared" si="21"/>
        <v>0.8158614402917046</v>
      </c>
      <c r="C1337" s="5">
        <v>109.7</v>
      </c>
      <c r="D1337" s="5">
        <v>89.5</v>
      </c>
      <c r="E1337" s="3" t="s">
        <v>7</v>
      </c>
      <c r="F1337" s="6">
        <v>46010.660416666673</v>
      </c>
    </row>
    <row r="1338" spans="1:6" x14ac:dyDescent="0.3">
      <c r="A1338" s="3">
        <v>1337</v>
      </c>
      <c r="B1338" s="4">
        <f t="shared" si="21"/>
        <v>0.81701631701631694</v>
      </c>
      <c r="C1338" s="5">
        <v>85.8</v>
      </c>
      <c r="D1338" s="5">
        <v>70.099999999999994</v>
      </c>
      <c r="E1338" s="3" t="s">
        <v>7</v>
      </c>
      <c r="F1338" s="6">
        <v>45936.460416666669</v>
      </c>
    </row>
    <row r="1339" spans="1:6" x14ac:dyDescent="0.3">
      <c r="A1339" s="3">
        <v>1338</v>
      </c>
      <c r="B1339" s="4">
        <f t="shared" si="21"/>
        <v>0.81770145310435927</v>
      </c>
      <c r="C1339" s="5">
        <v>75.7</v>
      </c>
      <c r="D1339" s="5">
        <v>61.9</v>
      </c>
      <c r="E1339" s="3" t="s">
        <v>7</v>
      </c>
      <c r="F1339" s="6">
        <v>46087.599305555559</v>
      </c>
    </row>
    <row r="1340" spans="1:6" x14ac:dyDescent="0.3">
      <c r="A1340" s="3">
        <v>1339</v>
      </c>
      <c r="B1340" s="4">
        <f t="shared" si="21"/>
        <v>0.8179871520342612</v>
      </c>
      <c r="C1340" s="5">
        <v>93.4</v>
      </c>
      <c r="D1340" s="5">
        <v>76.400000000000006</v>
      </c>
      <c r="E1340" s="3" t="s">
        <v>7</v>
      </c>
      <c r="F1340" s="6">
        <v>45615.397916666669</v>
      </c>
    </row>
    <row r="1341" spans="1:6" x14ac:dyDescent="0.3">
      <c r="A1341" s="3">
        <v>1340</v>
      </c>
      <c r="B1341" s="4">
        <f t="shared" si="21"/>
        <v>0.81892332789559552</v>
      </c>
      <c r="C1341" s="5">
        <v>61.3</v>
      </c>
      <c r="D1341" s="5">
        <v>50.2</v>
      </c>
      <c r="E1341" s="3" t="s">
        <v>11</v>
      </c>
      <c r="F1341" s="6">
        <v>45434.713194444441</v>
      </c>
    </row>
    <row r="1342" spans="1:6" x14ac:dyDescent="0.3">
      <c r="A1342" s="3">
        <v>1341</v>
      </c>
      <c r="B1342" s="4">
        <f t="shared" si="21"/>
        <v>0.82073643410852715</v>
      </c>
      <c r="C1342" s="5">
        <v>103.2</v>
      </c>
      <c r="D1342" s="5">
        <v>84.7</v>
      </c>
      <c r="E1342" s="3" t="s">
        <v>7</v>
      </c>
      <c r="F1342" s="6">
        <v>44855.60833333333</v>
      </c>
    </row>
    <row r="1343" spans="1:6" x14ac:dyDescent="0.3">
      <c r="A1343" s="3">
        <v>1342</v>
      </c>
      <c r="B1343" s="4">
        <f t="shared" si="21"/>
        <v>0.8209169054441261</v>
      </c>
      <c r="C1343" s="5">
        <v>69.8</v>
      </c>
      <c r="D1343" s="5">
        <v>57.3</v>
      </c>
      <c r="E1343" s="3" t="s">
        <v>11</v>
      </c>
      <c r="F1343" s="6">
        <v>45068.527777777781</v>
      </c>
    </row>
    <row r="1344" spans="1:6" x14ac:dyDescent="0.3">
      <c r="A1344" s="3">
        <v>1343</v>
      </c>
      <c r="B1344" s="4">
        <f t="shared" si="21"/>
        <v>0.82121212121212128</v>
      </c>
      <c r="C1344" s="5">
        <v>66</v>
      </c>
      <c r="D1344" s="5">
        <v>54.2</v>
      </c>
      <c r="E1344" s="3" t="s">
        <v>11</v>
      </c>
      <c r="F1344" s="6">
        <v>45322.823611111111</v>
      </c>
    </row>
    <row r="1345" spans="1:6" x14ac:dyDescent="0.3">
      <c r="A1345" s="3">
        <v>1344</v>
      </c>
      <c r="B1345" s="4">
        <f t="shared" si="21"/>
        <v>0.82150776053215069</v>
      </c>
      <c r="C1345" s="5">
        <v>90.2</v>
      </c>
      <c r="D1345" s="5">
        <v>74.099999999999994</v>
      </c>
      <c r="E1345" s="3" t="s">
        <v>7</v>
      </c>
      <c r="F1345" s="6">
        <v>45610.870833333327</v>
      </c>
    </row>
    <row r="1346" spans="1:6" x14ac:dyDescent="0.3">
      <c r="A1346" s="3">
        <v>1345</v>
      </c>
      <c r="B1346" s="4">
        <f t="shared" ref="B1346:B1409" si="22">D1346/C1346</f>
        <v>0.82152974504249299</v>
      </c>
      <c r="C1346" s="5">
        <v>70.599999999999994</v>
      </c>
      <c r="D1346" s="5">
        <v>58</v>
      </c>
      <c r="E1346" s="3" t="s">
        <v>7</v>
      </c>
      <c r="F1346" s="6">
        <v>45757.824999999997</v>
      </c>
    </row>
    <row r="1347" spans="1:6" x14ac:dyDescent="0.3">
      <c r="A1347" s="3">
        <v>1346</v>
      </c>
      <c r="B1347" s="4">
        <f t="shared" si="22"/>
        <v>0.82229965156794427</v>
      </c>
      <c r="C1347" s="5">
        <v>86.1</v>
      </c>
      <c r="D1347" s="5">
        <v>70.8</v>
      </c>
      <c r="E1347" s="3" t="s">
        <v>7</v>
      </c>
      <c r="F1347" s="6">
        <v>44833.745138888888</v>
      </c>
    </row>
    <row r="1348" spans="1:6" x14ac:dyDescent="0.3">
      <c r="A1348" s="3">
        <v>1347</v>
      </c>
      <c r="B1348" s="4">
        <f t="shared" si="22"/>
        <v>0.82235528942115776</v>
      </c>
      <c r="C1348" s="5">
        <v>100.2</v>
      </c>
      <c r="D1348" s="5">
        <v>82.4</v>
      </c>
      <c r="E1348" s="3" t="s">
        <v>11</v>
      </c>
      <c r="F1348" s="6">
        <v>44615.357638888891</v>
      </c>
    </row>
    <row r="1349" spans="1:6" x14ac:dyDescent="0.3">
      <c r="A1349" s="3">
        <v>1348</v>
      </c>
      <c r="B1349" s="4">
        <f t="shared" si="22"/>
        <v>0.82288828337874653</v>
      </c>
      <c r="C1349" s="5">
        <v>73.400000000000006</v>
      </c>
      <c r="D1349" s="5">
        <v>60.4</v>
      </c>
      <c r="E1349" s="3" t="s">
        <v>7</v>
      </c>
      <c r="F1349" s="6">
        <v>44830.093055555553</v>
      </c>
    </row>
    <row r="1350" spans="1:6" x14ac:dyDescent="0.3">
      <c r="A1350" s="3">
        <v>1349</v>
      </c>
      <c r="B1350" s="4">
        <f t="shared" si="22"/>
        <v>0.82311733800350262</v>
      </c>
      <c r="C1350" s="5">
        <v>57.1</v>
      </c>
      <c r="D1350" s="5">
        <v>47</v>
      </c>
      <c r="E1350" s="3" t="s">
        <v>11</v>
      </c>
      <c r="F1350" s="6">
        <v>45149.611111111109</v>
      </c>
    </row>
    <row r="1351" spans="1:6" x14ac:dyDescent="0.3">
      <c r="A1351" s="3">
        <v>1350</v>
      </c>
      <c r="B1351" s="4">
        <f t="shared" si="22"/>
        <v>0.82378223495702008</v>
      </c>
      <c r="C1351" s="5">
        <v>69.8</v>
      </c>
      <c r="D1351" s="5">
        <v>57.5</v>
      </c>
      <c r="E1351" s="3" t="s">
        <v>7</v>
      </c>
      <c r="F1351" s="6">
        <v>45232.642361111109</v>
      </c>
    </row>
    <row r="1352" spans="1:6" x14ac:dyDescent="0.3">
      <c r="A1352" s="3">
        <v>1351</v>
      </c>
      <c r="B1352" s="4">
        <f t="shared" si="22"/>
        <v>0.824585635359116</v>
      </c>
      <c r="C1352" s="5">
        <v>72.400000000000006</v>
      </c>
      <c r="D1352" s="5">
        <v>59.7</v>
      </c>
      <c r="E1352" s="3" t="s">
        <v>11</v>
      </c>
      <c r="F1352" s="6">
        <v>46105.300694444442</v>
      </c>
    </row>
    <row r="1353" spans="1:6" x14ac:dyDescent="0.3">
      <c r="A1353" s="3">
        <v>1352</v>
      </c>
      <c r="B1353" s="4">
        <f t="shared" si="22"/>
        <v>0.82478097622027535</v>
      </c>
      <c r="C1353" s="5">
        <v>79.900000000000006</v>
      </c>
      <c r="D1353" s="5">
        <v>65.900000000000006</v>
      </c>
      <c r="E1353" s="3" t="s">
        <v>11</v>
      </c>
      <c r="F1353" s="6">
        <v>45957.497916666667</v>
      </c>
    </row>
    <row r="1354" spans="1:6" x14ac:dyDescent="0.3">
      <c r="A1354" s="3">
        <v>1353</v>
      </c>
      <c r="B1354" s="4">
        <f t="shared" si="22"/>
        <v>0.82625482625482627</v>
      </c>
      <c r="C1354" s="5">
        <v>51.8</v>
      </c>
      <c r="D1354" s="5">
        <v>42.8</v>
      </c>
      <c r="E1354" s="3" t="s">
        <v>7</v>
      </c>
      <c r="F1354" s="6">
        <v>46201.930555555547</v>
      </c>
    </row>
    <row r="1355" spans="1:6" x14ac:dyDescent="0.3">
      <c r="A1355" s="3">
        <v>1354</v>
      </c>
      <c r="B1355" s="4">
        <f t="shared" si="22"/>
        <v>0.82692307692307687</v>
      </c>
      <c r="C1355" s="5">
        <v>57.2</v>
      </c>
      <c r="D1355" s="5">
        <v>47.3</v>
      </c>
      <c r="E1355" s="3" t="s">
        <v>7</v>
      </c>
      <c r="F1355" s="6">
        <v>44644.598611111112</v>
      </c>
    </row>
    <row r="1356" spans="1:6" x14ac:dyDescent="0.3">
      <c r="A1356" s="3">
        <v>1355</v>
      </c>
      <c r="B1356" s="4">
        <f t="shared" si="22"/>
        <v>0.82692307692307698</v>
      </c>
      <c r="C1356" s="5">
        <v>72.8</v>
      </c>
      <c r="D1356" s="5">
        <v>60.2</v>
      </c>
      <c r="E1356" s="3" t="s">
        <v>11</v>
      </c>
      <c r="F1356" s="6">
        <v>45323.532638888893</v>
      </c>
    </row>
    <row r="1357" spans="1:6" x14ac:dyDescent="0.3">
      <c r="A1357" s="3">
        <v>1356</v>
      </c>
      <c r="B1357" s="4">
        <f t="shared" si="22"/>
        <v>0.82714285714285707</v>
      </c>
      <c r="C1357" s="5">
        <v>70</v>
      </c>
      <c r="D1357" s="5">
        <v>57.9</v>
      </c>
      <c r="E1357" s="3" t="s">
        <v>11</v>
      </c>
      <c r="F1357" s="6">
        <v>44685.754166666673</v>
      </c>
    </row>
    <row r="1358" spans="1:6" x14ac:dyDescent="0.3">
      <c r="A1358" s="3">
        <v>1357</v>
      </c>
      <c r="B1358" s="4">
        <f t="shared" si="22"/>
        <v>0.82717872968980799</v>
      </c>
      <c r="C1358" s="5">
        <v>67.7</v>
      </c>
      <c r="D1358" s="5">
        <v>56</v>
      </c>
      <c r="E1358" s="3" t="s">
        <v>7</v>
      </c>
      <c r="F1358" s="6">
        <v>44522.371527777781</v>
      </c>
    </row>
    <row r="1359" spans="1:6" x14ac:dyDescent="0.3">
      <c r="A1359" s="3">
        <v>1358</v>
      </c>
      <c r="B1359" s="4">
        <f t="shared" si="22"/>
        <v>0.82765151515151525</v>
      </c>
      <c r="C1359" s="5">
        <v>52.8</v>
      </c>
      <c r="D1359" s="5">
        <v>43.7</v>
      </c>
      <c r="E1359" s="3" t="s">
        <v>7</v>
      </c>
      <c r="F1359" s="6">
        <v>45812.231944444437</v>
      </c>
    </row>
    <row r="1360" spans="1:6" x14ac:dyDescent="0.3">
      <c r="A1360" s="3">
        <v>1359</v>
      </c>
      <c r="B1360" s="4">
        <f t="shared" si="22"/>
        <v>0.82780612244897955</v>
      </c>
      <c r="C1360" s="5">
        <v>78.400000000000006</v>
      </c>
      <c r="D1360" s="5">
        <v>64.900000000000006</v>
      </c>
      <c r="E1360" s="3" t="s">
        <v>11</v>
      </c>
      <c r="F1360" s="6">
        <v>45650.604166666657</v>
      </c>
    </row>
    <row r="1361" spans="1:6" x14ac:dyDescent="0.3">
      <c r="A1361" s="3">
        <v>1360</v>
      </c>
      <c r="B1361" s="4">
        <f t="shared" si="22"/>
        <v>0.82857142857142851</v>
      </c>
      <c r="C1361" s="5">
        <v>59.5</v>
      </c>
      <c r="D1361" s="5">
        <v>49.3</v>
      </c>
      <c r="E1361" s="3" t="s">
        <v>11</v>
      </c>
      <c r="F1361" s="6">
        <v>46076.625694444447</v>
      </c>
    </row>
    <row r="1362" spans="1:6" x14ac:dyDescent="0.3">
      <c r="A1362" s="3">
        <v>1361</v>
      </c>
      <c r="B1362" s="4">
        <f t="shared" si="22"/>
        <v>0.82896764252696442</v>
      </c>
      <c r="C1362" s="5">
        <v>64.900000000000006</v>
      </c>
      <c r="D1362" s="5">
        <v>53.8</v>
      </c>
      <c r="E1362" s="3" t="s">
        <v>11</v>
      </c>
      <c r="F1362" s="6">
        <v>46149.625</v>
      </c>
    </row>
    <row r="1363" spans="1:6" x14ac:dyDescent="0.3">
      <c r="A1363" s="3">
        <v>1362</v>
      </c>
      <c r="B1363" s="4">
        <f t="shared" si="22"/>
        <v>0.82900136798905621</v>
      </c>
      <c r="C1363" s="5">
        <v>73.099999999999994</v>
      </c>
      <c r="D1363" s="5">
        <v>60.6</v>
      </c>
      <c r="E1363" s="3" t="s">
        <v>7</v>
      </c>
      <c r="F1363" s="6">
        <v>44748.257638888892</v>
      </c>
    </row>
    <row r="1364" spans="1:6" x14ac:dyDescent="0.3">
      <c r="A1364" s="3">
        <v>1363</v>
      </c>
      <c r="B1364" s="4">
        <f t="shared" si="22"/>
        <v>0.82905982905982911</v>
      </c>
      <c r="C1364" s="5">
        <v>81.900000000000006</v>
      </c>
      <c r="D1364" s="5">
        <v>67.900000000000006</v>
      </c>
      <c r="E1364" s="3" t="s">
        <v>7</v>
      </c>
      <c r="F1364" s="6">
        <v>46087.515972222223</v>
      </c>
    </row>
    <row r="1365" spans="1:6" x14ac:dyDescent="0.3">
      <c r="A1365" s="3">
        <v>1364</v>
      </c>
      <c r="B1365" s="4">
        <f t="shared" si="22"/>
        <v>0.82910447761194028</v>
      </c>
      <c r="C1365" s="5">
        <v>134</v>
      </c>
      <c r="D1365" s="5">
        <v>111.1</v>
      </c>
      <c r="E1365" s="3" t="s">
        <v>11</v>
      </c>
      <c r="F1365" s="6">
        <v>44830.052083333343</v>
      </c>
    </row>
    <row r="1366" spans="1:6" x14ac:dyDescent="0.3">
      <c r="A1366" s="3">
        <v>1365</v>
      </c>
      <c r="B1366" s="4">
        <f t="shared" si="22"/>
        <v>0.83016304347826098</v>
      </c>
      <c r="C1366" s="5">
        <v>73.599999999999994</v>
      </c>
      <c r="D1366" s="5">
        <v>61.1</v>
      </c>
      <c r="E1366" s="3" t="s">
        <v>11</v>
      </c>
      <c r="F1366" s="6">
        <v>45069.597916666673</v>
      </c>
    </row>
    <row r="1367" spans="1:6" x14ac:dyDescent="0.3">
      <c r="A1367" s="3">
        <v>1366</v>
      </c>
      <c r="B1367" s="4">
        <f t="shared" si="22"/>
        <v>0.83020833333333333</v>
      </c>
      <c r="C1367" s="5">
        <v>96</v>
      </c>
      <c r="D1367" s="5">
        <v>79.7</v>
      </c>
      <c r="E1367" s="3" t="s">
        <v>11</v>
      </c>
      <c r="F1367" s="6">
        <v>45401.564583333333</v>
      </c>
    </row>
    <row r="1368" spans="1:6" x14ac:dyDescent="0.3">
      <c r="A1368" s="3">
        <v>1367</v>
      </c>
      <c r="B1368" s="4">
        <f t="shared" si="22"/>
        <v>0.83024251069900157</v>
      </c>
      <c r="C1368" s="5">
        <v>70.099999999999994</v>
      </c>
      <c r="D1368" s="5">
        <v>58.2</v>
      </c>
      <c r="E1368" s="3" t="s">
        <v>11</v>
      </c>
      <c r="F1368" s="6">
        <v>44694.31527777778</v>
      </c>
    </row>
    <row r="1369" spans="1:6" x14ac:dyDescent="0.3">
      <c r="A1369" s="3">
        <v>1368</v>
      </c>
      <c r="B1369" s="4">
        <f t="shared" si="22"/>
        <v>0.8304862023653089</v>
      </c>
      <c r="C1369" s="5">
        <v>76.099999999999994</v>
      </c>
      <c r="D1369" s="5">
        <v>63.2</v>
      </c>
      <c r="E1369" s="3" t="s">
        <v>7</v>
      </c>
      <c r="F1369" s="6">
        <v>45002.488194444442</v>
      </c>
    </row>
    <row r="1370" spans="1:6" x14ac:dyDescent="0.3">
      <c r="A1370" s="3">
        <v>1369</v>
      </c>
      <c r="B1370" s="4">
        <f t="shared" si="22"/>
        <v>0.83070301291248205</v>
      </c>
      <c r="C1370" s="5">
        <v>69.7</v>
      </c>
      <c r="D1370" s="5">
        <v>57.9</v>
      </c>
      <c r="E1370" s="3" t="s">
        <v>11</v>
      </c>
      <c r="F1370" s="6">
        <v>45838.23333333333</v>
      </c>
    </row>
    <row r="1371" spans="1:6" x14ac:dyDescent="0.3">
      <c r="A1371" s="3">
        <v>1370</v>
      </c>
      <c r="B1371" s="4">
        <f t="shared" si="22"/>
        <v>0.83090909090909093</v>
      </c>
      <c r="C1371" s="5">
        <v>110</v>
      </c>
      <c r="D1371" s="5">
        <v>91.4</v>
      </c>
      <c r="E1371" s="3" t="s">
        <v>11</v>
      </c>
      <c r="F1371" s="6">
        <v>44881.863888888889</v>
      </c>
    </row>
    <row r="1372" spans="1:6" x14ac:dyDescent="0.3">
      <c r="A1372" s="3">
        <v>1371</v>
      </c>
      <c r="B1372" s="4">
        <f t="shared" si="22"/>
        <v>0.83192261185006044</v>
      </c>
      <c r="C1372" s="5">
        <v>82.7</v>
      </c>
      <c r="D1372" s="5">
        <v>68.8</v>
      </c>
      <c r="E1372" s="3" t="s">
        <v>7</v>
      </c>
      <c r="F1372" s="6">
        <v>45319.966666666667</v>
      </c>
    </row>
    <row r="1373" spans="1:6" x14ac:dyDescent="0.3">
      <c r="A1373" s="3">
        <v>1372</v>
      </c>
      <c r="B1373" s="4">
        <f t="shared" si="22"/>
        <v>0.83213773314203732</v>
      </c>
      <c r="C1373" s="5">
        <v>69.7</v>
      </c>
      <c r="D1373" s="5">
        <v>58</v>
      </c>
      <c r="E1373" s="3" t="s">
        <v>11</v>
      </c>
      <c r="F1373" s="6">
        <v>45750.556250000001</v>
      </c>
    </row>
    <row r="1374" spans="1:6" x14ac:dyDescent="0.3">
      <c r="A1374" s="3">
        <v>1373</v>
      </c>
      <c r="B1374" s="4">
        <f t="shared" si="22"/>
        <v>0.83278688524590161</v>
      </c>
      <c r="C1374" s="5">
        <v>61</v>
      </c>
      <c r="D1374" s="5">
        <v>50.8</v>
      </c>
      <c r="E1374" s="3" t="s">
        <v>7</v>
      </c>
      <c r="F1374" s="6">
        <v>45282.563888888893</v>
      </c>
    </row>
    <row r="1375" spans="1:6" x14ac:dyDescent="0.3">
      <c r="A1375" s="3">
        <v>1374</v>
      </c>
      <c r="B1375" s="4">
        <f t="shared" si="22"/>
        <v>0.83283132530120474</v>
      </c>
      <c r="C1375" s="5">
        <v>132.80000000000001</v>
      </c>
      <c r="D1375" s="5">
        <v>110.6</v>
      </c>
      <c r="E1375" s="3" t="s">
        <v>11</v>
      </c>
      <c r="F1375" s="6">
        <v>45786.668055555558</v>
      </c>
    </row>
    <row r="1376" spans="1:6" x14ac:dyDescent="0.3">
      <c r="A1376" s="3">
        <v>1375</v>
      </c>
      <c r="B1376" s="4">
        <f t="shared" si="22"/>
        <v>0.83316782522343602</v>
      </c>
      <c r="C1376" s="5">
        <v>100.7</v>
      </c>
      <c r="D1376" s="5">
        <v>83.9</v>
      </c>
      <c r="E1376" s="3" t="s">
        <v>11</v>
      </c>
      <c r="F1376" s="6">
        <v>44538.726388888892</v>
      </c>
    </row>
    <row r="1377" spans="1:6" x14ac:dyDescent="0.3">
      <c r="A1377" s="3">
        <v>1376</v>
      </c>
      <c r="B1377" s="4">
        <f t="shared" si="22"/>
        <v>0.83357452966714918</v>
      </c>
      <c r="C1377" s="5">
        <v>69.099999999999994</v>
      </c>
      <c r="D1377" s="5">
        <v>57.6</v>
      </c>
      <c r="E1377" s="3" t="s">
        <v>11</v>
      </c>
      <c r="F1377" s="6">
        <v>46198.396527777782</v>
      </c>
    </row>
    <row r="1378" spans="1:6" x14ac:dyDescent="0.3">
      <c r="A1378" s="3">
        <v>1377</v>
      </c>
      <c r="B1378" s="4">
        <f t="shared" si="22"/>
        <v>0.83407407407407408</v>
      </c>
      <c r="C1378" s="5">
        <v>67.5</v>
      </c>
      <c r="D1378" s="5">
        <v>56.3</v>
      </c>
      <c r="E1378" s="3" t="s">
        <v>7</v>
      </c>
      <c r="F1378" s="6">
        <v>44561.505555555559</v>
      </c>
    </row>
    <row r="1379" spans="1:6" x14ac:dyDescent="0.3">
      <c r="A1379" s="3">
        <v>1378</v>
      </c>
      <c r="B1379" s="4">
        <f t="shared" si="22"/>
        <v>0.8345098039215687</v>
      </c>
      <c r="C1379" s="5">
        <v>127.5</v>
      </c>
      <c r="D1379" s="5">
        <v>106.4</v>
      </c>
      <c r="E1379" s="3" t="s">
        <v>7</v>
      </c>
      <c r="F1379" s="6">
        <v>45170.271527777782</v>
      </c>
    </row>
    <row r="1380" spans="1:6" x14ac:dyDescent="0.3">
      <c r="A1380" s="3">
        <v>1379</v>
      </c>
      <c r="B1380" s="4">
        <f t="shared" si="22"/>
        <v>0.8345410628019323</v>
      </c>
      <c r="C1380" s="5">
        <v>82.8</v>
      </c>
      <c r="D1380" s="5">
        <v>69.099999999999994</v>
      </c>
      <c r="E1380" s="3" t="s">
        <v>11</v>
      </c>
      <c r="F1380" s="6">
        <v>44481.504861111112</v>
      </c>
    </row>
    <row r="1381" spans="1:6" x14ac:dyDescent="0.3">
      <c r="A1381" s="3">
        <v>1380</v>
      </c>
      <c r="B1381" s="4">
        <f t="shared" si="22"/>
        <v>0.83486238532110091</v>
      </c>
      <c r="C1381" s="5">
        <v>54.5</v>
      </c>
      <c r="D1381" s="5">
        <v>45.5</v>
      </c>
      <c r="E1381" s="3" t="s">
        <v>11</v>
      </c>
      <c r="F1381" s="6">
        <v>45537.623611111107</v>
      </c>
    </row>
    <row r="1382" spans="1:6" x14ac:dyDescent="0.3">
      <c r="A1382" s="3">
        <v>1381</v>
      </c>
      <c r="B1382" s="4">
        <f t="shared" si="22"/>
        <v>0.8352713178294574</v>
      </c>
      <c r="C1382" s="5">
        <v>51.6</v>
      </c>
      <c r="D1382" s="5">
        <v>43.1</v>
      </c>
      <c r="E1382" s="3" t="s">
        <v>7</v>
      </c>
      <c r="F1382" s="6">
        <v>44917.784722222219</v>
      </c>
    </row>
    <row r="1383" spans="1:6" x14ac:dyDescent="0.3">
      <c r="A1383" s="3">
        <v>1382</v>
      </c>
      <c r="B1383" s="4">
        <f t="shared" si="22"/>
        <v>0.83527454242928456</v>
      </c>
      <c r="C1383" s="5">
        <v>60.1</v>
      </c>
      <c r="D1383" s="5">
        <v>50.2</v>
      </c>
      <c r="E1383" s="3" t="s">
        <v>11</v>
      </c>
      <c r="F1383" s="6">
        <v>44883.520138888889</v>
      </c>
    </row>
    <row r="1384" spans="1:6" x14ac:dyDescent="0.3">
      <c r="A1384" s="3">
        <v>1383</v>
      </c>
      <c r="B1384" s="4">
        <f t="shared" si="22"/>
        <v>0.83532934131736525</v>
      </c>
      <c r="C1384" s="5">
        <v>133.6</v>
      </c>
      <c r="D1384" s="5">
        <v>111.6</v>
      </c>
      <c r="E1384" s="3" t="s">
        <v>11</v>
      </c>
      <c r="F1384" s="6">
        <v>44734.419444444437</v>
      </c>
    </row>
    <row r="1385" spans="1:6" x14ac:dyDescent="0.3">
      <c r="A1385" s="3">
        <v>1384</v>
      </c>
      <c r="B1385" s="4">
        <f t="shared" si="22"/>
        <v>0.83551198257080617</v>
      </c>
      <c r="C1385" s="5">
        <v>91.8</v>
      </c>
      <c r="D1385" s="5">
        <v>76.7</v>
      </c>
      <c r="E1385" s="3" t="s">
        <v>7</v>
      </c>
      <c r="F1385" s="6">
        <v>44834.681944444441</v>
      </c>
    </row>
    <row r="1386" spans="1:6" x14ac:dyDescent="0.3">
      <c r="A1386" s="3">
        <v>1385</v>
      </c>
      <c r="B1386" s="4">
        <f t="shared" si="22"/>
        <v>0.83554817275747495</v>
      </c>
      <c r="C1386" s="5">
        <v>60.2</v>
      </c>
      <c r="D1386" s="5">
        <v>50.3</v>
      </c>
      <c r="E1386" s="3" t="s">
        <v>11</v>
      </c>
      <c r="F1386" s="6">
        <v>46034.057638888888</v>
      </c>
    </row>
    <row r="1387" spans="1:6" x14ac:dyDescent="0.3">
      <c r="A1387" s="3">
        <v>1386</v>
      </c>
      <c r="B1387" s="4">
        <f t="shared" si="22"/>
        <v>0.83555555555555561</v>
      </c>
      <c r="C1387" s="5">
        <v>90</v>
      </c>
      <c r="D1387" s="5">
        <v>75.2</v>
      </c>
      <c r="E1387" s="3" t="s">
        <v>7</v>
      </c>
      <c r="F1387" s="6">
        <v>44749.545138888891</v>
      </c>
    </row>
    <row r="1388" spans="1:6" x14ac:dyDescent="0.3">
      <c r="A1388" s="3">
        <v>1387</v>
      </c>
      <c r="B1388" s="4">
        <f t="shared" si="22"/>
        <v>0.8356374807987712</v>
      </c>
      <c r="C1388" s="5">
        <v>130.19999999999999</v>
      </c>
      <c r="D1388" s="5">
        <v>108.8</v>
      </c>
      <c r="E1388" s="3" t="s">
        <v>11</v>
      </c>
      <c r="F1388" s="6">
        <v>44848.625694444447</v>
      </c>
    </row>
    <row r="1389" spans="1:6" x14ac:dyDescent="0.3">
      <c r="A1389" s="3">
        <v>1388</v>
      </c>
      <c r="B1389" s="4">
        <f t="shared" si="22"/>
        <v>0.83599574014909472</v>
      </c>
      <c r="C1389" s="5">
        <v>93.9</v>
      </c>
      <c r="D1389" s="5">
        <v>78.5</v>
      </c>
      <c r="E1389" s="3" t="s">
        <v>11</v>
      </c>
      <c r="F1389" s="6">
        <v>45902.59097222222</v>
      </c>
    </row>
    <row r="1390" spans="1:6" x14ac:dyDescent="0.3">
      <c r="A1390" s="3">
        <v>1389</v>
      </c>
      <c r="B1390" s="4">
        <f t="shared" si="22"/>
        <v>0.83697047496790755</v>
      </c>
      <c r="C1390" s="5">
        <v>77.900000000000006</v>
      </c>
      <c r="D1390" s="5">
        <v>65.2</v>
      </c>
      <c r="E1390" s="3" t="s">
        <v>11</v>
      </c>
      <c r="F1390" s="6">
        <v>45077.571527777778</v>
      </c>
    </row>
    <row r="1391" spans="1:6" x14ac:dyDescent="0.3">
      <c r="A1391" s="3">
        <v>1390</v>
      </c>
      <c r="B1391" s="4">
        <f t="shared" si="22"/>
        <v>0.83704453441295557</v>
      </c>
      <c r="C1391" s="5">
        <v>98.8</v>
      </c>
      <c r="D1391" s="5">
        <v>82.7</v>
      </c>
      <c r="E1391" s="3" t="s">
        <v>11</v>
      </c>
      <c r="F1391" s="6">
        <v>45317.574999999997</v>
      </c>
    </row>
    <row r="1392" spans="1:6" x14ac:dyDescent="0.3">
      <c r="A1392" s="3">
        <v>1391</v>
      </c>
      <c r="B1392" s="4">
        <f t="shared" si="22"/>
        <v>0.83727399165507643</v>
      </c>
      <c r="C1392" s="5">
        <v>71.900000000000006</v>
      </c>
      <c r="D1392" s="5">
        <v>60.2</v>
      </c>
      <c r="E1392" s="3" t="s">
        <v>11</v>
      </c>
      <c r="F1392" s="6">
        <v>45268.644444444442</v>
      </c>
    </row>
    <row r="1393" spans="1:6" x14ac:dyDescent="0.3">
      <c r="A1393" s="3">
        <v>1392</v>
      </c>
      <c r="B1393" s="4">
        <f t="shared" si="22"/>
        <v>0.83752417794970979</v>
      </c>
      <c r="C1393" s="5">
        <v>51.7</v>
      </c>
      <c r="D1393" s="5">
        <v>43.3</v>
      </c>
      <c r="E1393" s="3" t="s">
        <v>11</v>
      </c>
      <c r="F1393" s="6">
        <v>44987.015277777777</v>
      </c>
    </row>
    <row r="1394" spans="1:6" x14ac:dyDescent="0.3">
      <c r="A1394" s="3">
        <v>1393</v>
      </c>
      <c r="B1394" s="4">
        <f t="shared" si="22"/>
        <v>0.83843717001055973</v>
      </c>
      <c r="C1394" s="5">
        <v>94.7</v>
      </c>
      <c r="D1394" s="5">
        <v>79.400000000000006</v>
      </c>
      <c r="E1394" s="3" t="s">
        <v>11</v>
      </c>
      <c r="F1394" s="6">
        <v>44932.5625</v>
      </c>
    </row>
    <row r="1395" spans="1:6" x14ac:dyDescent="0.3">
      <c r="A1395" s="3">
        <v>1394</v>
      </c>
      <c r="B1395" s="4">
        <f t="shared" si="22"/>
        <v>0.83848797250859108</v>
      </c>
      <c r="C1395" s="5">
        <v>87.3</v>
      </c>
      <c r="D1395" s="5">
        <v>73.2</v>
      </c>
      <c r="E1395" s="3" t="s">
        <v>11</v>
      </c>
      <c r="F1395" s="6">
        <v>44627.525000000001</v>
      </c>
    </row>
    <row r="1396" spans="1:6" x14ac:dyDescent="0.3">
      <c r="A1396" s="3">
        <v>1395</v>
      </c>
      <c r="B1396" s="4">
        <f t="shared" si="22"/>
        <v>0.83970588235294119</v>
      </c>
      <c r="C1396" s="5">
        <v>68</v>
      </c>
      <c r="D1396" s="5">
        <v>57.1</v>
      </c>
      <c r="E1396" s="3" t="s">
        <v>7</v>
      </c>
      <c r="F1396" s="6">
        <v>44708.62777777778</v>
      </c>
    </row>
    <row r="1397" spans="1:6" x14ac:dyDescent="0.3">
      <c r="A1397" s="3">
        <v>1396</v>
      </c>
      <c r="B1397" s="4">
        <f t="shared" si="22"/>
        <v>0.84000000000000008</v>
      </c>
      <c r="C1397" s="5">
        <v>85</v>
      </c>
      <c r="D1397" s="5">
        <v>71.400000000000006</v>
      </c>
      <c r="E1397" s="3" t="s">
        <v>7</v>
      </c>
      <c r="F1397" s="6">
        <v>44798.565972222219</v>
      </c>
    </row>
    <row r="1398" spans="1:6" x14ac:dyDescent="0.3">
      <c r="A1398" s="3">
        <v>1397</v>
      </c>
      <c r="B1398" s="4">
        <f t="shared" si="22"/>
        <v>0.84067478912839733</v>
      </c>
      <c r="C1398" s="5">
        <v>106.7</v>
      </c>
      <c r="D1398" s="5">
        <v>89.7</v>
      </c>
      <c r="E1398" s="3" t="s">
        <v>7</v>
      </c>
      <c r="F1398" s="6">
        <v>45509.419444444437</v>
      </c>
    </row>
    <row r="1399" spans="1:6" x14ac:dyDescent="0.3">
      <c r="A1399" s="3">
        <v>1398</v>
      </c>
      <c r="B1399" s="4">
        <f t="shared" si="22"/>
        <v>0.84106891701828412</v>
      </c>
      <c r="C1399" s="5">
        <v>71.099999999999994</v>
      </c>
      <c r="D1399" s="5">
        <v>59.8</v>
      </c>
      <c r="E1399" s="3" t="s">
        <v>7</v>
      </c>
      <c r="F1399" s="6">
        <v>46213.606249999997</v>
      </c>
    </row>
    <row r="1400" spans="1:6" x14ac:dyDescent="0.3">
      <c r="A1400" s="3">
        <v>1399</v>
      </c>
      <c r="B1400" s="4">
        <f t="shared" si="22"/>
        <v>0.84158415841584167</v>
      </c>
      <c r="C1400" s="5">
        <v>80.8</v>
      </c>
      <c r="D1400" s="5">
        <v>68</v>
      </c>
      <c r="E1400" s="3" t="s">
        <v>11</v>
      </c>
      <c r="F1400" s="6">
        <v>44708.578472222223</v>
      </c>
    </row>
    <row r="1401" spans="1:6" x14ac:dyDescent="0.3">
      <c r="A1401" s="3">
        <v>1400</v>
      </c>
      <c r="B1401" s="4">
        <f t="shared" si="22"/>
        <v>0.84177215189873422</v>
      </c>
      <c r="C1401" s="5">
        <v>63.2</v>
      </c>
      <c r="D1401" s="5">
        <v>53.2</v>
      </c>
      <c r="E1401" s="3" t="s">
        <v>11</v>
      </c>
      <c r="F1401" s="6">
        <v>45002.583333333343</v>
      </c>
    </row>
    <row r="1402" spans="1:6" x14ac:dyDescent="0.3">
      <c r="A1402" s="3">
        <v>1401</v>
      </c>
      <c r="B1402" s="4">
        <f t="shared" si="22"/>
        <v>0.84199584199584188</v>
      </c>
      <c r="C1402" s="5">
        <v>144.30000000000001</v>
      </c>
      <c r="D1402" s="5">
        <v>121.5</v>
      </c>
      <c r="E1402" s="3" t="s">
        <v>11</v>
      </c>
      <c r="F1402" s="6">
        <v>44848.548611111109</v>
      </c>
    </row>
    <row r="1403" spans="1:6" x14ac:dyDescent="0.3">
      <c r="A1403" s="3">
        <v>1402</v>
      </c>
      <c r="B1403" s="4">
        <f t="shared" si="22"/>
        <v>0.84202453987730053</v>
      </c>
      <c r="C1403" s="5">
        <v>65.2</v>
      </c>
      <c r="D1403" s="5">
        <v>54.9</v>
      </c>
      <c r="E1403" s="3" t="s">
        <v>7</v>
      </c>
      <c r="F1403" s="6">
        <v>44748.613194444442</v>
      </c>
    </row>
    <row r="1404" spans="1:6" x14ac:dyDescent="0.3">
      <c r="A1404" s="3">
        <v>1403</v>
      </c>
      <c r="B1404" s="4">
        <f t="shared" si="22"/>
        <v>0.84210526315789469</v>
      </c>
      <c r="C1404" s="5">
        <v>66.5</v>
      </c>
      <c r="D1404" s="5">
        <v>56</v>
      </c>
      <c r="E1404" s="3" t="s">
        <v>7</v>
      </c>
      <c r="F1404" s="6">
        <v>45792.613194444442</v>
      </c>
    </row>
    <row r="1405" spans="1:6" x14ac:dyDescent="0.3">
      <c r="A1405" s="3">
        <v>1404</v>
      </c>
      <c r="B1405" s="4">
        <f t="shared" si="22"/>
        <v>0.84316546762589928</v>
      </c>
      <c r="C1405" s="5">
        <v>69.5</v>
      </c>
      <c r="D1405" s="5">
        <v>58.6</v>
      </c>
      <c r="E1405" s="3" t="s">
        <v>11</v>
      </c>
      <c r="F1405" s="6">
        <v>44952.595138888893</v>
      </c>
    </row>
    <row r="1406" spans="1:6" x14ac:dyDescent="0.3">
      <c r="A1406" s="3">
        <v>1405</v>
      </c>
      <c r="B1406" s="4">
        <f t="shared" si="22"/>
        <v>0.84482758620689669</v>
      </c>
      <c r="C1406" s="5">
        <v>92.8</v>
      </c>
      <c r="D1406" s="5">
        <v>78.400000000000006</v>
      </c>
      <c r="E1406" s="3" t="s">
        <v>7</v>
      </c>
      <c r="F1406" s="6">
        <v>45975.470138888893</v>
      </c>
    </row>
    <row r="1407" spans="1:6" x14ac:dyDescent="0.3">
      <c r="A1407" s="3">
        <v>1406</v>
      </c>
      <c r="B1407" s="4">
        <f t="shared" si="22"/>
        <v>0.84510086455331401</v>
      </c>
      <c r="C1407" s="5">
        <v>138.80000000000001</v>
      </c>
      <c r="D1407" s="5">
        <v>117.3</v>
      </c>
      <c r="E1407" s="3" t="s">
        <v>7</v>
      </c>
      <c r="F1407" s="6">
        <v>44942.379861111112</v>
      </c>
    </row>
    <row r="1408" spans="1:6" x14ac:dyDescent="0.3">
      <c r="A1408" s="3">
        <v>1407</v>
      </c>
      <c r="B1408" s="4">
        <f t="shared" si="22"/>
        <v>0.84519774011299431</v>
      </c>
      <c r="C1408" s="5">
        <v>177</v>
      </c>
      <c r="D1408" s="5">
        <v>149.6</v>
      </c>
      <c r="E1408" s="3" t="s">
        <v>11</v>
      </c>
      <c r="F1408" s="6">
        <v>44832.53125</v>
      </c>
    </row>
    <row r="1409" spans="1:6" x14ac:dyDescent="0.3">
      <c r="A1409" s="3">
        <v>1408</v>
      </c>
      <c r="B1409" s="4">
        <f t="shared" si="22"/>
        <v>0.84557721139430275</v>
      </c>
      <c r="C1409" s="5">
        <v>66.7</v>
      </c>
      <c r="D1409" s="5">
        <v>56.4</v>
      </c>
      <c r="E1409" s="3" t="s">
        <v>7</v>
      </c>
      <c r="F1409" s="6">
        <v>45239.552777777782</v>
      </c>
    </row>
    <row r="1410" spans="1:6" x14ac:dyDescent="0.3">
      <c r="A1410" s="3">
        <v>1409</v>
      </c>
      <c r="B1410" s="4">
        <f t="shared" ref="B1410:B1473" si="23">D1410/C1410</f>
        <v>0.84558823529411764</v>
      </c>
      <c r="C1410" s="5">
        <v>108.8</v>
      </c>
      <c r="D1410" s="5">
        <v>92</v>
      </c>
      <c r="E1410" s="3" t="s">
        <v>11</v>
      </c>
      <c r="F1410" s="6">
        <v>44917.351388888892</v>
      </c>
    </row>
    <row r="1411" spans="1:6" x14ac:dyDescent="0.3">
      <c r="A1411" s="3">
        <v>1410</v>
      </c>
      <c r="B1411" s="4">
        <f t="shared" si="23"/>
        <v>0.84575835475578409</v>
      </c>
      <c r="C1411" s="5">
        <v>77.8</v>
      </c>
      <c r="D1411" s="5">
        <v>65.8</v>
      </c>
      <c r="E1411" s="3" t="s">
        <v>11</v>
      </c>
      <c r="F1411" s="6">
        <v>44544.532638888893</v>
      </c>
    </row>
    <row r="1412" spans="1:6" x14ac:dyDescent="0.3">
      <c r="A1412" s="3">
        <v>1411</v>
      </c>
      <c r="B1412" s="4">
        <f t="shared" si="23"/>
        <v>0.84576271186440677</v>
      </c>
      <c r="C1412" s="5">
        <v>59</v>
      </c>
      <c r="D1412" s="5">
        <v>49.9</v>
      </c>
      <c r="E1412" s="3" t="s">
        <v>11</v>
      </c>
      <c r="F1412" s="6">
        <v>45797.331250000003</v>
      </c>
    </row>
    <row r="1413" spans="1:6" x14ac:dyDescent="0.3">
      <c r="A1413" s="3">
        <v>1412</v>
      </c>
      <c r="B1413" s="4">
        <f t="shared" si="23"/>
        <v>0.84624277456647401</v>
      </c>
      <c r="C1413" s="5">
        <v>86.5</v>
      </c>
      <c r="D1413" s="5">
        <v>73.2</v>
      </c>
      <c r="E1413" s="3" t="s">
        <v>11</v>
      </c>
      <c r="F1413" s="6">
        <v>45226.397916666669</v>
      </c>
    </row>
    <row r="1414" spans="1:6" x14ac:dyDescent="0.3">
      <c r="A1414" s="3">
        <v>1413</v>
      </c>
      <c r="B1414" s="4">
        <f t="shared" si="23"/>
        <v>0.84654300168634078</v>
      </c>
      <c r="C1414" s="5">
        <v>59.3</v>
      </c>
      <c r="D1414" s="5">
        <v>50.2</v>
      </c>
      <c r="E1414" s="3" t="s">
        <v>11</v>
      </c>
      <c r="F1414" s="6">
        <v>44967.617361111108</v>
      </c>
    </row>
    <row r="1415" spans="1:6" x14ac:dyDescent="0.3">
      <c r="A1415" s="3">
        <v>1414</v>
      </c>
      <c r="B1415" s="4">
        <f t="shared" si="23"/>
        <v>0.84737484737484736</v>
      </c>
      <c r="C1415" s="5">
        <v>81.900000000000006</v>
      </c>
      <c r="D1415" s="5">
        <v>69.400000000000006</v>
      </c>
      <c r="E1415" s="3" t="s">
        <v>7</v>
      </c>
      <c r="F1415" s="6">
        <v>45036.512499999997</v>
      </c>
    </row>
    <row r="1416" spans="1:6" x14ac:dyDescent="0.3">
      <c r="A1416" s="3">
        <v>1415</v>
      </c>
      <c r="B1416" s="4">
        <f t="shared" si="23"/>
        <v>0.84876712328767123</v>
      </c>
      <c r="C1416" s="5">
        <v>182.5</v>
      </c>
      <c r="D1416" s="5">
        <v>154.9</v>
      </c>
      <c r="E1416" s="3" t="s">
        <v>7</v>
      </c>
      <c r="F1416" s="6">
        <v>44729.294444444437</v>
      </c>
    </row>
    <row r="1417" spans="1:6" x14ac:dyDescent="0.3">
      <c r="A1417" s="3">
        <v>1416</v>
      </c>
      <c r="B1417" s="4">
        <f t="shared" si="23"/>
        <v>0.8488888888888888</v>
      </c>
      <c r="C1417" s="5">
        <v>67.5</v>
      </c>
      <c r="D1417" s="5">
        <v>57.3</v>
      </c>
      <c r="E1417" s="3" t="s">
        <v>7</v>
      </c>
      <c r="F1417" s="6">
        <v>45044.422222222223</v>
      </c>
    </row>
    <row r="1418" spans="1:6" x14ac:dyDescent="0.3">
      <c r="A1418" s="3">
        <v>1417</v>
      </c>
      <c r="B1418" s="4">
        <f t="shared" si="23"/>
        <v>0.84905660377358494</v>
      </c>
      <c r="C1418" s="5">
        <v>84.8</v>
      </c>
      <c r="D1418" s="5">
        <v>72</v>
      </c>
      <c r="E1418" s="3" t="s">
        <v>11</v>
      </c>
      <c r="F1418" s="6">
        <v>45714.025694444441</v>
      </c>
    </row>
    <row r="1419" spans="1:6" x14ac:dyDescent="0.3">
      <c r="A1419" s="3">
        <v>1418</v>
      </c>
      <c r="B1419" s="4">
        <f t="shared" si="23"/>
        <v>0.84912959381044484</v>
      </c>
      <c r="C1419" s="5">
        <v>51.7</v>
      </c>
      <c r="D1419" s="5">
        <v>43.9</v>
      </c>
      <c r="E1419" s="3" t="s">
        <v>7</v>
      </c>
      <c r="F1419" s="6">
        <v>44895.273611111108</v>
      </c>
    </row>
    <row r="1420" spans="1:6" x14ac:dyDescent="0.3">
      <c r="A1420" s="3">
        <v>1419</v>
      </c>
      <c r="B1420" s="4">
        <f t="shared" si="23"/>
        <v>0.84939271255060733</v>
      </c>
      <c r="C1420" s="5">
        <v>123.5</v>
      </c>
      <c r="D1420" s="5">
        <v>104.9</v>
      </c>
      <c r="E1420" s="3" t="s">
        <v>7</v>
      </c>
      <c r="F1420" s="6">
        <v>45415.601388888892</v>
      </c>
    </row>
    <row r="1421" spans="1:6" x14ac:dyDescent="0.3">
      <c r="A1421" s="3">
        <v>1420</v>
      </c>
      <c r="B1421" s="4">
        <f t="shared" si="23"/>
        <v>0.84985835694050993</v>
      </c>
      <c r="C1421" s="5">
        <v>70.599999999999994</v>
      </c>
      <c r="D1421" s="5">
        <v>60</v>
      </c>
      <c r="E1421" s="3" t="s">
        <v>11</v>
      </c>
      <c r="F1421" s="6">
        <v>45203.688888888893</v>
      </c>
    </row>
    <row r="1422" spans="1:6" x14ac:dyDescent="0.3">
      <c r="A1422" s="3">
        <v>1421</v>
      </c>
      <c r="B1422" s="4">
        <f t="shared" si="23"/>
        <v>0.85</v>
      </c>
      <c r="C1422" s="5">
        <v>74</v>
      </c>
      <c r="D1422" s="5">
        <v>62.9</v>
      </c>
      <c r="E1422" s="3" t="s">
        <v>11</v>
      </c>
      <c r="F1422" s="6">
        <v>44540.086111111108</v>
      </c>
    </row>
    <row r="1423" spans="1:6" x14ac:dyDescent="0.3">
      <c r="A1423" s="3">
        <v>1422</v>
      </c>
      <c r="B1423" s="4">
        <f t="shared" si="23"/>
        <v>0.85</v>
      </c>
      <c r="C1423" s="5">
        <v>64</v>
      </c>
      <c r="D1423" s="5">
        <v>54.4</v>
      </c>
      <c r="E1423" s="3" t="s">
        <v>11</v>
      </c>
      <c r="F1423" s="6">
        <v>45784.614583333343</v>
      </c>
    </row>
    <row r="1424" spans="1:6" x14ac:dyDescent="0.3">
      <c r="A1424" s="3">
        <v>1423</v>
      </c>
      <c r="B1424" s="4">
        <f t="shared" si="23"/>
        <v>0.85015290519877673</v>
      </c>
      <c r="C1424" s="5">
        <v>65.400000000000006</v>
      </c>
      <c r="D1424" s="5">
        <v>55.6</v>
      </c>
      <c r="E1424" s="3" t="s">
        <v>7</v>
      </c>
      <c r="F1424" s="6">
        <v>45309.583333333343</v>
      </c>
    </row>
    <row r="1425" spans="1:6" x14ac:dyDescent="0.3">
      <c r="A1425" s="3">
        <v>1424</v>
      </c>
      <c r="B1425" s="4">
        <f t="shared" si="23"/>
        <v>0.8509174311926605</v>
      </c>
      <c r="C1425" s="5">
        <v>87.2</v>
      </c>
      <c r="D1425" s="5">
        <v>74.2</v>
      </c>
      <c r="E1425" s="3" t="s">
        <v>7</v>
      </c>
      <c r="F1425" s="6">
        <v>45072.620138888888</v>
      </c>
    </row>
    <row r="1426" spans="1:6" x14ac:dyDescent="0.3">
      <c r="A1426" s="3">
        <v>1425</v>
      </c>
      <c r="B1426" s="4">
        <f t="shared" si="23"/>
        <v>0.85111371629542787</v>
      </c>
      <c r="C1426" s="5">
        <v>85.3</v>
      </c>
      <c r="D1426" s="5">
        <v>72.599999999999994</v>
      </c>
      <c r="E1426" s="3" t="s">
        <v>11</v>
      </c>
      <c r="F1426" s="6">
        <v>44848.40625</v>
      </c>
    </row>
    <row r="1427" spans="1:6" x14ac:dyDescent="0.3">
      <c r="A1427" s="3">
        <v>1426</v>
      </c>
      <c r="B1427" s="4">
        <f t="shared" si="23"/>
        <v>0.85121731289449953</v>
      </c>
      <c r="C1427" s="5">
        <v>110.9</v>
      </c>
      <c r="D1427" s="5">
        <v>94.4</v>
      </c>
      <c r="E1427" s="3" t="s">
        <v>11</v>
      </c>
      <c r="F1427" s="6">
        <v>45098.770833333343</v>
      </c>
    </row>
    <row r="1428" spans="1:6" x14ac:dyDescent="0.3">
      <c r="A1428" s="3">
        <v>1427</v>
      </c>
      <c r="B1428" s="4">
        <f t="shared" si="23"/>
        <v>0.85191347753743762</v>
      </c>
      <c r="C1428" s="5">
        <v>60.1</v>
      </c>
      <c r="D1428" s="5">
        <v>51.2</v>
      </c>
      <c r="E1428" s="3" t="s">
        <v>11</v>
      </c>
      <c r="F1428" s="6">
        <v>45287.300694444442</v>
      </c>
    </row>
    <row r="1429" spans="1:6" x14ac:dyDescent="0.3">
      <c r="A1429" s="3">
        <v>1428</v>
      </c>
      <c r="B1429" s="4">
        <f t="shared" si="23"/>
        <v>0.85255972696245741</v>
      </c>
      <c r="C1429" s="5">
        <v>146.5</v>
      </c>
      <c r="D1429" s="5">
        <v>124.9</v>
      </c>
      <c r="E1429" s="3" t="s">
        <v>11</v>
      </c>
      <c r="F1429" s="6">
        <v>44728.431250000001</v>
      </c>
    </row>
    <row r="1430" spans="1:6" x14ac:dyDescent="0.3">
      <c r="A1430" s="3">
        <v>1429</v>
      </c>
      <c r="B1430" s="4">
        <f t="shared" si="23"/>
        <v>0.85257452574525749</v>
      </c>
      <c r="C1430" s="5">
        <v>184.5</v>
      </c>
      <c r="D1430" s="5">
        <v>157.30000000000001</v>
      </c>
      <c r="E1430" s="3" t="s">
        <v>11</v>
      </c>
      <c r="F1430" s="6">
        <v>44929.613888888889</v>
      </c>
    </row>
    <row r="1431" spans="1:6" x14ac:dyDescent="0.3">
      <c r="A1431" s="3">
        <v>1430</v>
      </c>
      <c r="B1431" s="4">
        <f t="shared" si="23"/>
        <v>0.85265700483091789</v>
      </c>
      <c r="C1431" s="5">
        <v>82.8</v>
      </c>
      <c r="D1431" s="5">
        <v>70.599999999999994</v>
      </c>
      <c r="E1431" s="3" t="s">
        <v>7</v>
      </c>
      <c r="F1431" s="6">
        <v>44845.588888888888</v>
      </c>
    </row>
    <row r="1432" spans="1:6" x14ac:dyDescent="0.3">
      <c r="A1432" s="3">
        <v>1431</v>
      </c>
      <c r="B1432" s="4">
        <f t="shared" si="23"/>
        <v>0.85265700483091789</v>
      </c>
      <c r="C1432" s="5">
        <v>82.8</v>
      </c>
      <c r="D1432" s="5">
        <v>70.599999999999994</v>
      </c>
      <c r="E1432" s="3" t="s">
        <v>7</v>
      </c>
      <c r="F1432" s="6">
        <v>45677.726388888892</v>
      </c>
    </row>
    <row r="1433" spans="1:6" x14ac:dyDescent="0.3">
      <c r="A1433" s="3">
        <v>1432</v>
      </c>
      <c r="B1433" s="4">
        <f t="shared" si="23"/>
        <v>0.8535286284953395</v>
      </c>
      <c r="C1433" s="5">
        <v>75.099999999999994</v>
      </c>
      <c r="D1433" s="5">
        <v>64.099999999999994</v>
      </c>
      <c r="E1433" s="3" t="s">
        <v>7</v>
      </c>
      <c r="F1433" s="6">
        <v>45728.6</v>
      </c>
    </row>
    <row r="1434" spans="1:6" x14ac:dyDescent="0.3">
      <c r="A1434" s="3">
        <v>1433</v>
      </c>
      <c r="B1434" s="4">
        <f t="shared" si="23"/>
        <v>0.85353535353535359</v>
      </c>
      <c r="C1434" s="5">
        <v>59.4</v>
      </c>
      <c r="D1434" s="5">
        <v>50.7</v>
      </c>
      <c r="E1434" s="3" t="s">
        <v>11</v>
      </c>
      <c r="F1434" s="6">
        <v>44655.300694444442</v>
      </c>
    </row>
    <row r="1435" spans="1:6" x14ac:dyDescent="0.3">
      <c r="A1435" s="3">
        <v>1434</v>
      </c>
      <c r="B1435" s="4">
        <f t="shared" si="23"/>
        <v>0.85430463576158944</v>
      </c>
      <c r="C1435" s="5">
        <v>60.4</v>
      </c>
      <c r="D1435" s="5">
        <v>51.6</v>
      </c>
      <c r="E1435" s="3" t="s">
        <v>11</v>
      </c>
      <c r="F1435" s="6">
        <v>44830.095138888893</v>
      </c>
    </row>
    <row r="1436" spans="1:6" x14ac:dyDescent="0.3">
      <c r="A1436" s="3">
        <v>1435</v>
      </c>
      <c r="B1436" s="4">
        <f t="shared" si="23"/>
        <v>0.85451977401129942</v>
      </c>
      <c r="C1436" s="5">
        <v>70.8</v>
      </c>
      <c r="D1436" s="5">
        <v>60.5</v>
      </c>
      <c r="E1436" s="3" t="s">
        <v>7</v>
      </c>
      <c r="F1436" s="6">
        <v>44820.75</v>
      </c>
    </row>
    <row r="1437" spans="1:6" x14ac:dyDescent="0.3">
      <c r="A1437" s="3">
        <v>1436</v>
      </c>
      <c r="B1437" s="4">
        <f t="shared" si="23"/>
        <v>0.85481770833333348</v>
      </c>
      <c r="C1437" s="5">
        <v>153.6</v>
      </c>
      <c r="D1437" s="5">
        <v>131.30000000000001</v>
      </c>
      <c r="E1437" s="3" t="s">
        <v>11</v>
      </c>
      <c r="F1437" s="6">
        <v>44715.022222222222</v>
      </c>
    </row>
    <row r="1438" spans="1:6" x14ac:dyDescent="0.3">
      <c r="A1438" s="3">
        <v>1437</v>
      </c>
      <c r="B1438" s="4">
        <f t="shared" si="23"/>
        <v>0.85509838998211085</v>
      </c>
      <c r="C1438" s="5">
        <v>55.9</v>
      </c>
      <c r="D1438" s="5">
        <v>47.8</v>
      </c>
      <c r="E1438" s="3" t="s">
        <v>11</v>
      </c>
      <c r="F1438" s="6">
        <v>46092.458333333343</v>
      </c>
    </row>
    <row r="1439" spans="1:6" x14ac:dyDescent="0.3">
      <c r="A1439" s="3">
        <v>1438</v>
      </c>
      <c r="B1439" s="4">
        <f t="shared" si="23"/>
        <v>0.85691056910569108</v>
      </c>
      <c r="C1439" s="5">
        <v>61.5</v>
      </c>
      <c r="D1439" s="5">
        <v>52.7</v>
      </c>
      <c r="E1439" s="3" t="s">
        <v>11</v>
      </c>
      <c r="F1439" s="6">
        <v>44888.84652777778</v>
      </c>
    </row>
    <row r="1440" spans="1:6" x14ac:dyDescent="0.3">
      <c r="A1440" s="3">
        <v>1439</v>
      </c>
      <c r="B1440" s="4">
        <f t="shared" si="23"/>
        <v>0.8571428571428571</v>
      </c>
      <c r="C1440" s="5">
        <v>63.7</v>
      </c>
      <c r="D1440" s="5">
        <v>54.6</v>
      </c>
      <c r="E1440" s="3" t="s">
        <v>7</v>
      </c>
      <c r="F1440" s="6">
        <v>44876.46875</v>
      </c>
    </row>
    <row r="1441" spans="1:6" x14ac:dyDescent="0.3">
      <c r="A1441" s="3">
        <v>1440</v>
      </c>
      <c r="B1441" s="4">
        <f t="shared" si="23"/>
        <v>0.85729275970619101</v>
      </c>
      <c r="C1441" s="5">
        <v>95.3</v>
      </c>
      <c r="D1441" s="5">
        <v>81.7</v>
      </c>
      <c r="E1441" s="3" t="s">
        <v>7</v>
      </c>
      <c r="F1441" s="6">
        <v>44504.42291666667</v>
      </c>
    </row>
    <row r="1442" spans="1:6" x14ac:dyDescent="0.3">
      <c r="A1442" s="3">
        <v>1441</v>
      </c>
      <c r="B1442" s="4">
        <f t="shared" si="23"/>
        <v>0.85735735735735741</v>
      </c>
      <c r="C1442" s="5">
        <v>66.599999999999994</v>
      </c>
      <c r="D1442" s="5">
        <v>57.1</v>
      </c>
      <c r="E1442" s="3" t="s">
        <v>7</v>
      </c>
      <c r="F1442" s="6">
        <v>45293.128472222219</v>
      </c>
    </row>
    <row r="1443" spans="1:6" x14ac:dyDescent="0.3">
      <c r="A1443" s="3">
        <v>1442</v>
      </c>
      <c r="B1443" s="4">
        <f t="shared" si="23"/>
        <v>0.85749690210656759</v>
      </c>
      <c r="C1443" s="5">
        <v>80.7</v>
      </c>
      <c r="D1443" s="5">
        <v>69.2</v>
      </c>
      <c r="E1443" s="3" t="s">
        <v>7</v>
      </c>
      <c r="F1443" s="6">
        <v>44746.681944444441</v>
      </c>
    </row>
    <row r="1444" spans="1:6" x14ac:dyDescent="0.3">
      <c r="A1444" s="3">
        <v>1443</v>
      </c>
      <c r="B1444" s="4">
        <f t="shared" si="23"/>
        <v>0.85760517799352753</v>
      </c>
      <c r="C1444" s="5">
        <v>61.8</v>
      </c>
      <c r="D1444" s="5">
        <v>53</v>
      </c>
      <c r="E1444" s="3" t="s">
        <v>11</v>
      </c>
      <c r="F1444" s="6">
        <v>44461.659722222219</v>
      </c>
    </row>
    <row r="1445" spans="1:6" x14ac:dyDescent="0.3">
      <c r="A1445" s="3">
        <v>1444</v>
      </c>
      <c r="B1445" s="4">
        <f t="shared" si="23"/>
        <v>0.85770750988142286</v>
      </c>
      <c r="C1445" s="5">
        <v>50.6</v>
      </c>
      <c r="D1445" s="5">
        <v>43.4</v>
      </c>
      <c r="E1445" s="3" t="s">
        <v>7</v>
      </c>
      <c r="F1445" s="6">
        <v>44924.522222222222</v>
      </c>
    </row>
    <row r="1446" spans="1:6" x14ac:dyDescent="0.3">
      <c r="A1446" s="3">
        <v>1445</v>
      </c>
      <c r="B1446" s="4">
        <f t="shared" si="23"/>
        <v>0.8584615384615385</v>
      </c>
      <c r="C1446" s="5">
        <v>97.5</v>
      </c>
      <c r="D1446" s="5">
        <v>83.7</v>
      </c>
      <c r="E1446" s="3" t="s">
        <v>11</v>
      </c>
      <c r="F1446" s="6">
        <v>44845.381249999999</v>
      </c>
    </row>
    <row r="1447" spans="1:6" x14ac:dyDescent="0.3">
      <c r="A1447" s="3">
        <v>1446</v>
      </c>
      <c r="B1447" s="4">
        <f t="shared" si="23"/>
        <v>0.85882352941176465</v>
      </c>
      <c r="C1447" s="5">
        <v>68</v>
      </c>
      <c r="D1447" s="5">
        <v>58.4</v>
      </c>
      <c r="E1447" s="3" t="s">
        <v>11</v>
      </c>
      <c r="F1447" s="6">
        <v>46107.841666666667</v>
      </c>
    </row>
    <row r="1448" spans="1:6" x14ac:dyDescent="0.3">
      <c r="A1448" s="3">
        <v>1447</v>
      </c>
      <c r="B1448" s="4">
        <f t="shared" si="23"/>
        <v>0.8593576965669989</v>
      </c>
      <c r="C1448" s="5">
        <v>90.3</v>
      </c>
      <c r="D1448" s="5">
        <v>77.599999999999994</v>
      </c>
      <c r="E1448" s="3" t="s">
        <v>11</v>
      </c>
      <c r="F1448" s="6">
        <v>46192.411805555559</v>
      </c>
    </row>
    <row r="1449" spans="1:6" x14ac:dyDescent="0.3">
      <c r="A1449" s="3">
        <v>1448</v>
      </c>
      <c r="B1449" s="4">
        <f t="shared" si="23"/>
        <v>0.85972850678733037</v>
      </c>
      <c r="C1449" s="5">
        <v>66.3</v>
      </c>
      <c r="D1449" s="5">
        <v>57</v>
      </c>
      <c r="E1449" s="3" t="s">
        <v>7</v>
      </c>
      <c r="F1449" s="6">
        <v>44757.57916666667</v>
      </c>
    </row>
    <row r="1450" spans="1:6" x14ac:dyDescent="0.3">
      <c r="A1450" s="3">
        <v>1449</v>
      </c>
      <c r="B1450" s="4">
        <f t="shared" si="23"/>
        <v>0.86005560704355877</v>
      </c>
      <c r="C1450" s="5">
        <v>107.9</v>
      </c>
      <c r="D1450" s="5">
        <v>92.8</v>
      </c>
      <c r="E1450" s="3" t="s">
        <v>11</v>
      </c>
      <c r="F1450" s="6">
        <v>45975.363888888889</v>
      </c>
    </row>
    <row r="1451" spans="1:6" x14ac:dyDescent="0.3">
      <c r="A1451" s="3">
        <v>1450</v>
      </c>
      <c r="B1451" s="4">
        <f t="shared" si="23"/>
        <v>0.860759493670886</v>
      </c>
      <c r="C1451" s="5">
        <v>63.2</v>
      </c>
      <c r="D1451" s="5">
        <v>54.4</v>
      </c>
      <c r="E1451" s="3" t="s">
        <v>11</v>
      </c>
      <c r="F1451" s="6">
        <v>44602.548611111109</v>
      </c>
    </row>
    <row r="1452" spans="1:6" x14ac:dyDescent="0.3">
      <c r="A1452" s="3">
        <v>1451</v>
      </c>
      <c r="B1452" s="4">
        <f t="shared" si="23"/>
        <v>0.86111111111111116</v>
      </c>
      <c r="C1452" s="5">
        <v>140.4</v>
      </c>
      <c r="D1452" s="5">
        <v>120.9</v>
      </c>
      <c r="E1452" s="3" t="s">
        <v>7</v>
      </c>
      <c r="F1452" s="6">
        <v>44756.078472222223</v>
      </c>
    </row>
    <row r="1453" spans="1:6" x14ac:dyDescent="0.3">
      <c r="A1453" s="3">
        <v>1452</v>
      </c>
      <c r="B1453" s="4">
        <f t="shared" si="23"/>
        <v>0.8617683686176838</v>
      </c>
      <c r="C1453" s="5">
        <v>80.3</v>
      </c>
      <c r="D1453" s="5">
        <v>69.2</v>
      </c>
      <c r="E1453" s="3" t="s">
        <v>7</v>
      </c>
      <c r="F1453" s="6">
        <v>44830.769444444442</v>
      </c>
    </row>
    <row r="1454" spans="1:6" x14ac:dyDescent="0.3">
      <c r="A1454" s="3">
        <v>1453</v>
      </c>
      <c r="B1454" s="4">
        <f t="shared" si="23"/>
        <v>0.8620361560418649</v>
      </c>
      <c r="C1454" s="5">
        <v>105.1</v>
      </c>
      <c r="D1454" s="5">
        <v>90.6</v>
      </c>
      <c r="E1454" s="3" t="s">
        <v>11</v>
      </c>
      <c r="F1454" s="6">
        <v>44852.52847222222</v>
      </c>
    </row>
    <row r="1455" spans="1:6" x14ac:dyDescent="0.3">
      <c r="A1455" s="3">
        <v>1454</v>
      </c>
      <c r="B1455" s="4">
        <f t="shared" si="23"/>
        <v>0.86206896551724133</v>
      </c>
      <c r="C1455" s="5">
        <v>95.7</v>
      </c>
      <c r="D1455" s="5">
        <v>82.5</v>
      </c>
      <c r="E1455" s="3" t="s">
        <v>7</v>
      </c>
      <c r="F1455" s="6">
        <v>45663.59652777778</v>
      </c>
    </row>
    <row r="1456" spans="1:6" x14ac:dyDescent="0.3">
      <c r="A1456" s="3">
        <v>1455</v>
      </c>
      <c r="B1456" s="4">
        <f t="shared" si="23"/>
        <v>0.86217948717948723</v>
      </c>
      <c r="C1456" s="5">
        <v>93.6</v>
      </c>
      <c r="D1456" s="5">
        <v>80.7</v>
      </c>
      <c r="E1456" s="3" t="s">
        <v>7</v>
      </c>
      <c r="F1456" s="6">
        <v>45301.286805555559</v>
      </c>
    </row>
    <row r="1457" spans="1:6" x14ac:dyDescent="0.3">
      <c r="A1457" s="3">
        <v>1456</v>
      </c>
      <c r="B1457" s="4">
        <f t="shared" si="23"/>
        <v>0.86253776435045315</v>
      </c>
      <c r="C1457" s="5">
        <v>66.2</v>
      </c>
      <c r="D1457" s="5">
        <v>57.1</v>
      </c>
      <c r="E1457" s="3" t="s">
        <v>7</v>
      </c>
      <c r="F1457" s="6">
        <v>45306.011111111111</v>
      </c>
    </row>
    <row r="1458" spans="1:6" x14ac:dyDescent="0.3">
      <c r="A1458" s="3">
        <v>1457</v>
      </c>
      <c r="B1458" s="4">
        <f t="shared" si="23"/>
        <v>0.86253776435045315</v>
      </c>
      <c r="C1458" s="5">
        <v>66.2</v>
      </c>
      <c r="D1458" s="5">
        <v>57.1</v>
      </c>
      <c r="E1458" s="3" t="s">
        <v>11</v>
      </c>
      <c r="F1458" s="6">
        <v>46106.506249999999</v>
      </c>
    </row>
    <row r="1459" spans="1:6" x14ac:dyDescent="0.3">
      <c r="A1459" s="3">
        <v>1458</v>
      </c>
      <c r="B1459" s="4">
        <f t="shared" si="23"/>
        <v>0.86260623229461764</v>
      </c>
      <c r="C1459" s="5">
        <v>70.599999999999994</v>
      </c>
      <c r="D1459" s="5">
        <v>60.9</v>
      </c>
      <c r="E1459" s="3" t="s">
        <v>7</v>
      </c>
      <c r="F1459" s="6">
        <v>44826.46597222222</v>
      </c>
    </row>
    <row r="1460" spans="1:6" x14ac:dyDescent="0.3">
      <c r="A1460" s="3">
        <v>1459</v>
      </c>
      <c r="B1460" s="4">
        <f t="shared" si="23"/>
        <v>0.86321626617375236</v>
      </c>
      <c r="C1460" s="5">
        <v>54.1</v>
      </c>
      <c r="D1460" s="5">
        <v>46.7</v>
      </c>
      <c r="E1460" s="3" t="s">
        <v>7</v>
      </c>
      <c r="F1460" s="6">
        <v>45449.555555555547</v>
      </c>
    </row>
    <row r="1461" spans="1:6" x14ac:dyDescent="0.3">
      <c r="A1461" s="3">
        <v>1460</v>
      </c>
      <c r="B1461" s="4">
        <f t="shared" si="23"/>
        <v>0.86390532544378684</v>
      </c>
      <c r="C1461" s="5">
        <v>50.7</v>
      </c>
      <c r="D1461" s="5">
        <v>43.8</v>
      </c>
      <c r="E1461" s="3" t="s">
        <v>7</v>
      </c>
      <c r="F1461" s="6">
        <v>44655.457638888889</v>
      </c>
    </row>
    <row r="1462" spans="1:6" x14ac:dyDescent="0.3">
      <c r="A1462" s="3">
        <v>1461</v>
      </c>
      <c r="B1462" s="4">
        <f t="shared" si="23"/>
        <v>0.86467065868263482</v>
      </c>
      <c r="C1462" s="5">
        <v>83.5</v>
      </c>
      <c r="D1462" s="5">
        <v>72.2</v>
      </c>
      <c r="E1462" s="3" t="s">
        <v>11</v>
      </c>
      <c r="F1462" s="6">
        <v>44844.376388888893</v>
      </c>
    </row>
    <row r="1463" spans="1:6" x14ac:dyDescent="0.3">
      <c r="A1463" s="3">
        <v>1462</v>
      </c>
      <c r="B1463" s="4">
        <f t="shared" si="23"/>
        <v>0.86477462437395658</v>
      </c>
      <c r="C1463" s="5">
        <v>59.9</v>
      </c>
      <c r="D1463" s="5">
        <v>51.8</v>
      </c>
      <c r="E1463" s="3" t="s">
        <v>11</v>
      </c>
      <c r="F1463" s="6">
        <v>44762.177083333343</v>
      </c>
    </row>
    <row r="1464" spans="1:6" x14ac:dyDescent="0.3">
      <c r="A1464" s="3">
        <v>1463</v>
      </c>
      <c r="B1464" s="4">
        <f t="shared" si="23"/>
        <v>0.86495535714285721</v>
      </c>
      <c r="C1464" s="5">
        <v>89.6</v>
      </c>
      <c r="D1464" s="5">
        <v>77.5</v>
      </c>
      <c r="E1464" s="3" t="s">
        <v>7</v>
      </c>
      <c r="F1464" s="6">
        <v>44867.693055555559</v>
      </c>
    </row>
    <row r="1465" spans="1:6" x14ac:dyDescent="0.3">
      <c r="A1465" s="3">
        <v>1464</v>
      </c>
      <c r="B1465" s="4">
        <f t="shared" si="23"/>
        <v>0.86599423631123917</v>
      </c>
      <c r="C1465" s="5">
        <v>69.400000000000006</v>
      </c>
      <c r="D1465" s="5">
        <v>60.1</v>
      </c>
      <c r="E1465" s="3" t="s">
        <v>7</v>
      </c>
      <c r="F1465" s="6">
        <v>44883.490277777782</v>
      </c>
    </row>
    <row r="1466" spans="1:6" x14ac:dyDescent="0.3">
      <c r="A1466" s="3">
        <v>1465</v>
      </c>
      <c r="B1466" s="4">
        <f t="shared" si="23"/>
        <v>0.86623164763458405</v>
      </c>
      <c r="C1466" s="5">
        <v>61.3</v>
      </c>
      <c r="D1466" s="5">
        <v>53.1</v>
      </c>
      <c r="E1466" s="3" t="s">
        <v>7</v>
      </c>
      <c r="F1466" s="6">
        <v>45579.552777777782</v>
      </c>
    </row>
    <row r="1467" spans="1:6" x14ac:dyDescent="0.3">
      <c r="A1467" s="3">
        <v>1466</v>
      </c>
      <c r="B1467" s="4">
        <f t="shared" si="23"/>
        <v>0.8665644171779141</v>
      </c>
      <c r="C1467" s="5">
        <v>65.2</v>
      </c>
      <c r="D1467" s="5">
        <v>56.5</v>
      </c>
      <c r="E1467" s="3" t="s">
        <v>7</v>
      </c>
      <c r="F1467" s="6">
        <v>45077.597222222219</v>
      </c>
    </row>
    <row r="1468" spans="1:6" x14ac:dyDescent="0.3">
      <c r="A1468" s="3">
        <v>1467</v>
      </c>
      <c r="B1468" s="4">
        <f t="shared" si="23"/>
        <v>0.8673139158576052</v>
      </c>
      <c r="C1468" s="5">
        <v>61.8</v>
      </c>
      <c r="D1468" s="5">
        <v>53.6</v>
      </c>
      <c r="E1468" s="3" t="s">
        <v>11</v>
      </c>
      <c r="F1468" s="6">
        <v>45302.607638888891</v>
      </c>
    </row>
    <row r="1469" spans="1:6" x14ac:dyDescent="0.3">
      <c r="A1469" s="3">
        <v>1468</v>
      </c>
      <c r="B1469" s="4">
        <f t="shared" si="23"/>
        <v>0.86984126984126975</v>
      </c>
      <c r="C1469" s="5">
        <v>63</v>
      </c>
      <c r="D1469" s="5">
        <v>54.8</v>
      </c>
      <c r="E1469" s="3" t="s">
        <v>11</v>
      </c>
      <c r="F1469" s="6">
        <v>45218.712500000001</v>
      </c>
    </row>
    <row r="1470" spans="1:6" x14ac:dyDescent="0.3">
      <c r="A1470" s="3">
        <v>1469</v>
      </c>
      <c r="B1470" s="4">
        <f t="shared" si="23"/>
        <v>0.86999343401181872</v>
      </c>
      <c r="C1470" s="5">
        <v>152.30000000000001</v>
      </c>
      <c r="D1470" s="5">
        <v>132.5</v>
      </c>
      <c r="E1470" s="3" t="s">
        <v>11</v>
      </c>
      <c r="F1470" s="6">
        <v>45967.784722222219</v>
      </c>
    </row>
    <row r="1471" spans="1:6" x14ac:dyDescent="0.3">
      <c r="A1471" s="3">
        <v>1470</v>
      </c>
      <c r="B1471" s="4">
        <f t="shared" si="23"/>
        <v>0.87032085561497319</v>
      </c>
      <c r="C1471" s="5">
        <v>74.8</v>
      </c>
      <c r="D1471" s="5">
        <v>65.099999999999994</v>
      </c>
      <c r="E1471" s="3" t="s">
        <v>11</v>
      </c>
      <c r="F1471" s="6">
        <v>44736.119444444441</v>
      </c>
    </row>
    <row r="1472" spans="1:6" x14ac:dyDescent="0.3">
      <c r="A1472" s="3">
        <v>1471</v>
      </c>
      <c r="B1472" s="4">
        <f t="shared" si="23"/>
        <v>0.87035069075451654</v>
      </c>
      <c r="C1472" s="5">
        <v>94.1</v>
      </c>
      <c r="D1472" s="5">
        <v>81.900000000000006</v>
      </c>
      <c r="E1472" s="3" t="s">
        <v>11</v>
      </c>
      <c r="F1472" s="6">
        <v>45635.667361111111</v>
      </c>
    </row>
    <row r="1473" spans="1:6" x14ac:dyDescent="0.3">
      <c r="A1473" s="3">
        <v>1472</v>
      </c>
      <c r="B1473" s="4">
        <f t="shared" si="23"/>
        <v>0.87068965517241381</v>
      </c>
      <c r="C1473" s="5">
        <v>58</v>
      </c>
      <c r="D1473" s="5">
        <v>50.5</v>
      </c>
      <c r="E1473" s="3" t="s">
        <v>7</v>
      </c>
      <c r="F1473" s="6">
        <v>45471.611111111109</v>
      </c>
    </row>
    <row r="1474" spans="1:6" x14ac:dyDescent="0.3">
      <c r="A1474" s="3">
        <v>1473</v>
      </c>
      <c r="B1474" s="4">
        <f t="shared" ref="B1474:B1537" si="24">D1474/C1474</f>
        <v>0.87077826725403817</v>
      </c>
      <c r="C1474" s="5">
        <v>68.099999999999994</v>
      </c>
      <c r="D1474" s="5">
        <v>59.3</v>
      </c>
      <c r="E1474" s="3" t="s">
        <v>7</v>
      </c>
      <c r="F1474" s="6">
        <v>45979.548611111109</v>
      </c>
    </row>
    <row r="1475" spans="1:6" x14ac:dyDescent="0.3">
      <c r="A1475" s="3">
        <v>1474</v>
      </c>
      <c r="B1475" s="4">
        <f t="shared" si="24"/>
        <v>0.87081339712918659</v>
      </c>
      <c r="C1475" s="5">
        <v>62.7</v>
      </c>
      <c r="D1475" s="5">
        <v>54.6</v>
      </c>
      <c r="E1475" s="3" t="s">
        <v>11</v>
      </c>
      <c r="F1475" s="6">
        <v>45719.080555555563</v>
      </c>
    </row>
    <row r="1476" spans="1:6" x14ac:dyDescent="0.3">
      <c r="A1476" s="3">
        <v>1475</v>
      </c>
      <c r="B1476" s="4">
        <f t="shared" si="24"/>
        <v>0.87109375000000011</v>
      </c>
      <c r="C1476" s="5">
        <v>76.8</v>
      </c>
      <c r="D1476" s="5">
        <v>66.900000000000006</v>
      </c>
      <c r="E1476" s="3" t="s">
        <v>11</v>
      </c>
      <c r="F1476" s="6">
        <v>45156.745138888888</v>
      </c>
    </row>
    <row r="1477" spans="1:6" x14ac:dyDescent="0.3">
      <c r="A1477" s="3">
        <v>1476</v>
      </c>
      <c r="B1477" s="4">
        <f t="shared" si="24"/>
        <v>0.87174721189591076</v>
      </c>
      <c r="C1477" s="5">
        <v>53.8</v>
      </c>
      <c r="D1477" s="5">
        <v>46.9</v>
      </c>
      <c r="E1477" s="3" t="s">
        <v>7</v>
      </c>
      <c r="F1477" s="6">
        <v>45510.998611111107</v>
      </c>
    </row>
    <row r="1478" spans="1:6" x14ac:dyDescent="0.3">
      <c r="A1478" s="3">
        <v>1477</v>
      </c>
      <c r="B1478" s="4">
        <f t="shared" si="24"/>
        <v>0.87179487179487181</v>
      </c>
      <c r="C1478" s="5">
        <v>62.4</v>
      </c>
      <c r="D1478" s="5">
        <v>54.4</v>
      </c>
      <c r="E1478" s="3" t="s">
        <v>7</v>
      </c>
      <c r="F1478" s="6">
        <v>44732.55</v>
      </c>
    </row>
    <row r="1479" spans="1:6" x14ac:dyDescent="0.3">
      <c r="A1479" s="3">
        <v>1478</v>
      </c>
      <c r="B1479" s="4">
        <f t="shared" si="24"/>
        <v>0.8725165562913908</v>
      </c>
      <c r="C1479" s="5">
        <v>60.4</v>
      </c>
      <c r="D1479" s="5">
        <v>52.7</v>
      </c>
      <c r="E1479" s="3" t="s">
        <v>7</v>
      </c>
      <c r="F1479" s="6">
        <v>45260.855555555558</v>
      </c>
    </row>
    <row r="1480" spans="1:6" x14ac:dyDescent="0.3">
      <c r="A1480" s="3">
        <v>1479</v>
      </c>
      <c r="B1480" s="4">
        <f t="shared" si="24"/>
        <v>0.87296416938110755</v>
      </c>
      <c r="C1480" s="5">
        <v>61.4</v>
      </c>
      <c r="D1480" s="5">
        <v>53.6</v>
      </c>
      <c r="E1480" s="3" t="s">
        <v>11</v>
      </c>
      <c r="F1480" s="6">
        <v>45748.712500000001</v>
      </c>
    </row>
    <row r="1481" spans="1:6" x14ac:dyDescent="0.3">
      <c r="A1481" s="3">
        <v>1480</v>
      </c>
      <c r="B1481" s="4">
        <f t="shared" si="24"/>
        <v>0.87304347826086959</v>
      </c>
      <c r="C1481" s="5">
        <v>57.5</v>
      </c>
      <c r="D1481" s="5">
        <v>50.2</v>
      </c>
      <c r="E1481" s="3" t="s">
        <v>7</v>
      </c>
      <c r="F1481" s="6">
        <v>44589.38958333333</v>
      </c>
    </row>
    <row r="1482" spans="1:6" x14ac:dyDescent="0.3">
      <c r="A1482" s="3">
        <v>1481</v>
      </c>
      <c r="B1482" s="4">
        <f t="shared" si="24"/>
        <v>0.87347294938917974</v>
      </c>
      <c r="C1482" s="5">
        <v>114.6</v>
      </c>
      <c r="D1482" s="5">
        <v>100.1</v>
      </c>
      <c r="E1482" s="3" t="s">
        <v>11</v>
      </c>
      <c r="F1482" s="6">
        <v>44851.004861111112</v>
      </c>
    </row>
    <row r="1483" spans="1:6" x14ac:dyDescent="0.3">
      <c r="A1483" s="3">
        <v>1482</v>
      </c>
      <c r="B1483" s="4">
        <f t="shared" si="24"/>
        <v>0.87382550335570464</v>
      </c>
      <c r="C1483" s="5">
        <v>149</v>
      </c>
      <c r="D1483" s="5">
        <v>130.19999999999999</v>
      </c>
      <c r="E1483" s="3" t="s">
        <v>7</v>
      </c>
      <c r="F1483" s="6">
        <v>44838.474305555559</v>
      </c>
    </row>
    <row r="1484" spans="1:6" x14ac:dyDescent="0.3">
      <c r="A1484" s="3">
        <v>1483</v>
      </c>
      <c r="B1484" s="4">
        <f t="shared" si="24"/>
        <v>0.87384615384615383</v>
      </c>
      <c r="C1484" s="5">
        <v>65</v>
      </c>
      <c r="D1484" s="5">
        <v>56.8</v>
      </c>
      <c r="E1484" s="3" t="s">
        <v>7</v>
      </c>
      <c r="F1484" s="6">
        <v>44700.296527777777</v>
      </c>
    </row>
    <row r="1485" spans="1:6" x14ac:dyDescent="0.3">
      <c r="A1485" s="3">
        <v>1484</v>
      </c>
      <c r="B1485" s="4">
        <f t="shared" si="24"/>
        <v>0.87387387387387383</v>
      </c>
      <c r="C1485" s="5">
        <v>55.5</v>
      </c>
      <c r="D1485" s="5">
        <v>48.5</v>
      </c>
      <c r="E1485" s="3" t="s">
        <v>7</v>
      </c>
      <c r="F1485" s="6">
        <v>45334.579861111109</v>
      </c>
    </row>
    <row r="1486" spans="1:6" x14ac:dyDescent="0.3">
      <c r="A1486" s="3">
        <v>1485</v>
      </c>
      <c r="B1486" s="4">
        <f t="shared" si="24"/>
        <v>0.8745387453874538</v>
      </c>
      <c r="C1486" s="5">
        <v>81.3</v>
      </c>
      <c r="D1486" s="5">
        <v>71.099999999999994</v>
      </c>
      <c r="E1486" s="3" t="s">
        <v>11</v>
      </c>
      <c r="F1486" s="6">
        <v>46086.380555555559</v>
      </c>
    </row>
    <row r="1487" spans="1:6" x14ac:dyDescent="0.3">
      <c r="A1487" s="3">
        <v>1486</v>
      </c>
      <c r="B1487" s="4">
        <f t="shared" si="24"/>
        <v>0.87476979742173122</v>
      </c>
      <c r="C1487" s="5">
        <v>54.3</v>
      </c>
      <c r="D1487" s="5">
        <v>47.5</v>
      </c>
      <c r="E1487" s="3" t="s">
        <v>11</v>
      </c>
      <c r="F1487" s="6">
        <v>44543.595833333333</v>
      </c>
    </row>
    <row r="1488" spans="1:6" x14ac:dyDescent="0.3">
      <c r="A1488" s="3">
        <v>1487</v>
      </c>
      <c r="B1488" s="4">
        <f t="shared" si="24"/>
        <v>0.87556125721616418</v>
      </c>
      <c r="C1488" s="5">
        <v>155.9</v>
      </c>
      <c r="D1488" s="5">
        <v>136.5</v>
      </c>
      <c r="E1488" s="3" t="s">
        <v>11</v>
      </c>
      <c r="F1488" s="6">
        <v>45597.575694444437</v>
      </c>
    </row>
    <row r="1489" spans="1:6" x14ac:dyDescent="0.3">
      <c r="A1489" s="3">
        <v>1488</v>
      </c>
      <c r="B1489" s="4">
        <f t="shared" si="24"/>
        <v>0.87558320373250387</v>
      </c>
      <c r="C1489" s="5">
        <v>64.3</v>
      </c>
      <c r="D1489" s="5">
        <v>56.3</v>
      </c>
      <c r="E1489" s="3" t="s">
        <v>11</v>
      </c>
      <c r="F1489" s="6">
        <v>44853.618055555547</v>
      </c>
    </row>
    <row r="1490" spans="1:6" x14ac:dyDescent="0.3">
      <c r="A1490" s="3">
        <v>1489</v>
      </c>
      <c r="B1490" s="4">
        <f t="shared" si="24"/>
        <v>0.87565674255691761</v>
      </c>
      <c r="C1490" s="5">
        <v>57.1</v>
      </c>
      <c r="D1490" s="5">
        <v>50</v>
      </c>
      <c r="E1490" s="3" t="s">
        <v>11</v>
      </c>
      <c r="F1490" s="6">
        <v>45293.342361111107</v>
      </c>
    </row>
    <row r="1491" spans="1:6" x14ac:dyDescent="0.3">
      <c r="A1491" s="3">
        <v>1490</v>
      </c>
      <c r="B1491" s="4">
        <f t="shared" si="24"/>
        <v>0.87679999999999991</v>
      </c>
      <c r="C1491" s="5">
        <v>62.5</v>
      </c>
      <c r="D1491" s="5">
        <v>54.8</v>
      </c>
      <c r="E1491" s="3" t="s">
        <v>7</v>
      </c>
      <c r="F1491" s="6">
        <v>44693.584722222222</v>
      </c>
    </row>
    <row r="1492" spans="1:6" x14ac:dyDescent="0.3">
      <c r="A1492" s="3">
        <v>1491</v>
      </c>
      <c r="B1492" s="4">
        <f t="shared" si="24"/>
        <v>0.87721893491124259</v>
      </c>
      <c r="C1492" s="5">
        <v>67.599999999999994</v>
      </c>
      <c r="D1492" s="5">
        <v>59.3</v>
      </c>
      <c r="E1492" s="3" t="s">
        <v>7</v>
      </c>
      <c r="F1492" s="6">
        <v>44589.815972222219</v>
      </c>
    </row>
    <row r="1493" spans="1:6" x14ac:dyDescent="0.3">
      <c r="A1493" s="3">
        <v>1492</v>
      </c>
      <c r="B1493" s="4">
        <f t="shared" si="24"/>
        <v>0.87873462214411246</v>
      </c>
      <c r="C1493" s="5">
        <v>56.9</v>
      </c>
      <c r="D1493" s="5">
        <v>50</v>
      </c>
      <c r="E1493" s="3" t="s">
        <v>11</v>
      </c>
      <c r="F1493" s="6">
        <v>46017.573611111111</v>
      </c>
    </row>
    <row r="1494" spans="1:6" x14ac:dyDescent="0.3">
      <c r="A1494" s="3">
        <v>1493</v>
      </c>
      <c r="B1494" s="4">
        <f t="shared" si="24"/>
        <v>0.8788870703764321</v>
      </c>
      <c r="C1494" s="5">
        <v>61.1</v>
      </c>
      <c r="D1494" s="5">
        <v>53.7</v>
      </c>
      <c r="E1494" s="3" t="s">
        <v>11</v>
      </c>
      <c r="F1494" s="6">
        <v>44775.651388888888</v>
      </c>
    </row>
    <row r="1495" spans="1:6" x14ac:dyDescent="0.3">
      <c r="A1495" s="3">
        <v>1494</v>
      </c>
      <c r="B1495" s="4">
        <f t="shared" si="24"/>
        <v>0.87899860917941586</v>
      </c>
      <c r="C1495" s="5">
        <v>71.900000000000006</v>
      </c>
      <c r="D1495" s="5">
        <v>63.2</v>
      </c>
      <c r="E1495" s="3" t="s">
        <v>7</v>
      </c>
      <c r="F1495" s="6">
        <v>44832.290277777778</v>
      </c>
    </row>
    <row r="1496" spans="1:6" x14ac:dyDescent="0.3">
      <c r="A1496" s="3">
        <v>1495</v>
      </c>
      <c r="B1496" s="4">
        <f t="shared" si="24"/>
        <v>0.87926136363636354</v>
      </c>
      <c r="C1496" s="5">
        <v>70.400000000000006</v>
      </c>
      <c r="D1496" s="5">
        <v>61.9</v>
      </c>
      <c r="E1496" s="3" t="s">
        <v>7</v>
      </c>
      <c r="F1496" s="6">
        <v>46133.343055555553</v>
      </c>
    </row>
    <row r="1497" spans="1:6" x14ac:dyDescent="0.3">
      <c r="A1497" s="3">
        <v>1496</v>
      </c>
      <c r="B1497" s="4">
        <f t="shared" si="24"/>
        <v>0.87942332896461328</v>
      </c>
      <c r="C1497" s="5">
        <v>76.3</v>
      </c>
      <c r="D1497" s="5">
        <v>67.099999999999994</v>
      </c>
      <c r="E1497" s="3" t="s">
        <v>11</v>
      </c>
      <c r="F1497" s="6">
        <v>45954.520833333343</v>
      </c>
    </row>
    <row r="1498" spans="1:6" x14ac:dyDescent="0.3">
      <c r="A1498" s="3">
        <v>1497</v>
      </c>
      <c r="B1498" s="4">
        <f t="shared" si="24"/>
        <v>0.87950566426364585</v>
      </c>
      <c r="C1498" s="5">
        <v>97.1</v>
      </c>
      <c r="D1498" s="5">
        <v>85.4</v>
      </c>
      <c r="E1498" s="3" t="s">
        <v>11</v>
      </c>
      <c r="F1498" s="6">
        <v>44861.604861111111</v>
      </c>
    </row>
    <row r="1499" spans="1:6" x14ac:dyDescent="0.3">
      <c r="A1499" s="3">
        <v>1498</v>
      </c>
      <c r="B1499" s="4">
        <f t="shared" si="24"/>
        <v>0.87979094076655051</v>
      </c>
      <c r="C1499" s="5">
        <v>57.4</v>
      </c>
      <c r="D1499" s="5">
        <v>50.5</v>
      </c>
      <c r="E1499" s="3" t="s">
        <v>7</v>
      </c>
      <c r="F1499" s="6">
        <v>44662.269444444442</v>
      </c>
    </row>
    <row r="1500" spans="1:6" x14ac:dyDescent="0.3">
      <c r="A1500" s="3">
        <v>1499</v>
      </c>
      <c r="B1500" s="4">
        <f t="shared" si="24"/>
        <v>0.88055130168453299</v>
      </c>
      <c r="C1500" s="5">
        <v>65.3</v>
      </c>
      <c r="D1500" s="5">
        <v>57.5</v>
      </c>
      <c r="E1500" s="3" t="s">
        <v>7</v>
      </c>
      <c r="F1500" s="6">
        <v>45862.529166666667</v>
      </c>
    </row>
    <row r="1501" spans="1:6" x14ac:dyDescent="0.3">
      <c r="A1501" s="3">
        <v>1500</v>
      </c>
      <c r="B1501" s="4">
        <f t="shared" si="24"/>
        <v>0.88055908513341796</v>
      </c>
      <c r="C1501" s="5">
        <v>78.7</v>
      </c>
      <c r="D1501" s="5">
        <v>69.3</v>
      </c>
      <c r="E1501" s="3" t="s">
        <v>11</v>
      </c>
      <c r="F1501" s="6">
        <v>44687.640277777777</v>
      </c>
    </row>
    <row r="1502" spans="1:6" x14ac:dyDescent="0.3">
      <c r="A1502" s="3">
        <v>1501</v>
      </c>
      <c r="B1502" s="4">
        <f t="shared" si="24"/>
        <v>0.88074824629773962</v>
      </c>
      <c r="C1502" s="5">
        <v>128.30000000000001</v>
      </c>
      <c r="D1502" s="5">
        <v>113</v>
      </c>
      <c r="E1502" s="3" t="s">
        <v>7</v>
      </c>
      <c r="F1502" s="6">
        <v>46140.495138888888</v>
      </c>
    </row>
    <row r="1503" spans="1:6" x14ac:dyDescent="0.3">
      <c r="A1503" s="3">
        <v>1502</v>
      </c>
      <c r="B1503" s="4">
        <f t="shared" si="24"/>
        <v>0.88099173553719001</v>
      </c>
      <c r="C1503" s="5">
        <v>60.5</v>
      </c>
      <c r="D1503" s="5">
        <v>53.3</v>
      </c>
      <c r="E1503" s="3" t="s">
        <v>11</v>
      </c>
      <c r="F1503" s="6">
        <v>44756.418055555558</v>
      </c>
    </row>
    <row r="1504" spans="1:6" x14ac:dyDescent="0.3">
      <c r="A1504" s="3">
        <v>1503</v>
      </c>
      <c r="B1504" s="4">
        <f t="shared" si="24"/>
        <v>0.88135593220338981</v>
      </c>
      <c r="C1504" s="5">
        <v>88.5</v>
      </c>
      <c r="D1504" s="5">
        <v>78</v>
      </c>
      <c r="E1504" s="3" t="s">
        <v>11</v>
      </c>
      <c r="F1504" s="6">
        <v>45758.55</v>
      </c>
    </row>
    <row r="1505" spans="1:6" x14ac:dyDescent="0.3">
      <c r="A1505" s="3">
        <v>1504</v>
      </c>
      <c r="B1505" s="4">
        <f t="shared" si="24"/>
        <v>0.88193624557260919</v>
      </c>
      <c r="C1505" s="5">
        <v>84.7</v>
      </c>
      <c r="D1505" s="5">
        <v>74.7</v>
      </c>
      <c r="E1505" s="3" t="s">
        <v>11</v>
      </c>
      <c r="F1505" s="6">
        <v>44855.620138888888</v>
      </c>
    </row>
    <row r="1506" spans="1:6" x14ac:dyDescent="0.3">
      <c r="A1506" s="3">
        <v>1505</v>
      </c>
      <c r="B1506" s="4">
        <f t="shared" si="24"/>
        <v>0.88200238379022644</v>
      </c>
      <c r="C1506" s="5">
        <v>83.9</v>
      </c>
      <c r="D1506" s="5">
        <v>74</v>
      </c>
      <c r="E1506" s="3" t="s">
        <v>7</v>
      </c>
      <c r="F1506" s="6">
        <v>44539.50277777778</v>
      </c>
    </row>
    <row r="1507" spans="1:6" x14ac:dyDescent="0.3">
      <c r="A1507" s="3">
        <v>1506</v>
      </c>
      <c r="B1507" s="4">
        <f t="shared" si="24"/>
        <v>0.88208469055374594</v>
      </c>
      <c r="C1507" s="5">
        <v>153.5</v>
      </c>
      <c r="D1507" s="5">
        <v>135.4</v>
      </c>
      <c r="E1507" s="3" t="s">
        <v>11</v>
      </c>
      <c r="F1507" s="6">
        <v>44833.405555555553</v>
      </c>
    </row>
    <row r="1508" spans="1:6" x14ac:dyDescent="0.3">
      <c r="A1508" s="3">
        <v>1507</v>
      </c>
      <c r="B1508" s="4">
        <f t="shared" si="24"/>
        <v>0.8824130879345603</v>
      </c>
      <c r="C1508" s="5">
        <v>97.8</v>
      </c>
      <c r="D1508" s="5">
        <v>86.3</v>
      </c>
      <c r="E1508" s="3" t="s">
        <v>11</v>
      </c>
      <c r="F1508" s="6">
        <v>44815.916666666657</v>
      </c>
    </row>
    <row r="1509" spans="1:6" x14ac:dyDescent="0.3">
      <c r="A1509" s="3">
        <v>1508</v>
      </c>
      <c r="B1509" s="4">
        <f t="shared" si="24"/>
        <v>0.8830128205128206</v>
      </c>
      <c r="C1509" s="5">
        <v>62.4</v>
      </c>
      <c r="D1509" s="5">
        <v>55.1</v>
      </c>
      <c r="E1509" s="3" t="s">
        <v>7</v>
      </c>
      <c r="F1509" s="6">
        <v>44908.367361111108</v>
      </c>
    </row>
    <row r="1510" spans="1:6" x14ac:dyDescent="0.3">
      <c r="A1510" s="3">
        <v>1509</v>
      </c>
      <c r="B1510" s="4">
        <f t="shared" si="24"/>
        <v>0.88403041825095052</v>
      </c>
      <c r="C1510" s="5">
        <v>52.6</v>
      </c>
      <c r="D1510" s="5">
        <v>46.5</v>
      </c>
      <c r="E1510" s="3" t="s">
        <v>7</v>
      </c>
      <c r="F1510" s="6">
        <v>44630.065972222219</v>
      </c>
    </row>
    <row r="1511" spans="1:6" x14ac:dyDescent="0.3">
      <c r="A1511" s="3">
        <v>1510</v>
      </c>
      <c r="B1511" s="4">
        <f t="shared" si="24"/>
        <v>0.88409371146732441</v>
      </c>
      <c r="C1511" s="5">
        <v>81.099999999999994</v>
      </c>
      <c r="D1511" s="5">
        <v>71.7</v>
      </c>
      <c r="E1511" s="3" t="s">
        <v>11</v>
      </c>
      <c r="F1511" s="6">
        <v>46069.380555555559</v>
      </c>
    </row>
    <row r="1512" spans="1:6" x14ac:dyDescent="0.3">
      <c r="A1512" s="3">
        <v>1511</v>
      </c>
      <c r="B1512" s="4">
        <f t="shared" si="24"/>
        <v>0.88505747126436796</v>
      </c>
      <c r="C1512" s="5">
        <v>69.599999999999994</v>
      </c>
      <c r="D1512" s="5">
        <v>61.6</v>
      </c>
      <c r="E1512" s="3" t="s">
        <v>11</v>
      </c>
      <c r="F1512" s="6">
        <v>44595.67291666667</v>
      </c>
    </row>
    <row r="1513" spans="1:6" x14ac:dyDescent="0.3">
      <c r="A1513" s="3">
        <v>1512</v>
      </c>
      <c r="B1513" s="4">
        <f t="shared" si="24"/>
        <v>0.88507462686567162</v>
      </c>
      <c r="C1513" s="5">
        <v>67</v>
      </c>
      <c r="D1513" s="5">
        <v>59.3</v>
      </c>
      <c r="E1513" s="3" t="s">
        <v>11</v>
      </c>
      <c r="F1513" s="6">
        <v>45231.81527777778</v>
      </c>
    </row>
    <row r="1514" spans="1:6" x14ac:dyDescent="0.3">
      <c r="A1514" s="3">
        <v>1513</v>
      </c>
      <c r="B1514" s="4">
        <f t="shared" si="24"/>
        <v>0.88609467455621305</v>
      </c>
      <c r="C1514" s="5">
        <v>67.599999999999994</v>
      </c>
      <c r="D1514" s="5">
        <v>59.9</v>
      </c>
      <c r="E1514" s="3" t="s">
        <v>11</v>
      </c>
      <c r="F1514" s="6">
        <v>44790.776388888888</v>
      </c>
    </row>
    <row r="1515" spans="1:6" x14ac:dyDescent="0.3">
      <c r="A1515" s="3">
        <v>1514</v>
      </c>
      <c r="B1515" s="4">
        <f t="shared" si="24"/>
        <v>0.88815789473684204</v>
      </c>
      <c r="C1515" s="5">
        <v>91.2</v>
      </c>
      <c r="D1515" s="5">
        <v>81</v>
      </c>
      <c r="E1515" s="3" t="s">
        <v>11</v>
      </c>
      <c r="F1515" s="6">
        <v>44959.5</v>
      </c>
    </row>
    <row r="1516" spans="1:6" x14ac:dyDescent="0.3">
      <c r="A1516" s="3">
        <v>1515</v>
      </c>
      <c r="B1516" s="4">
        <f t="shared" si="24"/>
        <v>0.88928571428571435</v>
      </c>
      <c r="C1516" s="5">
        <v>84</v>
      </c>
      <c r="D1516" s="5">
        <v>74.7</v>
      </c>
      <c r="E1516" s="3" t="s">
        <v>7</v>
      </c>
      <c r="F1516" s="6">
        <v>44837.411111111112</v>
      </c>
    </row>
    <row r="1517" spans="1:6" x14ac:dyDescent="0.3">
      <c r="A1517" s="3">
        <v>1516</v>
      </c>
      <c r="B1517" s="4">
        <f t="shared" si="24"/>
        <v>0.88954869358669841</v>
      </c>
      <c r="C1517" s="5">
        <v>84.2</v>
      </c>
      <c r="D1517" s="5">
        <v>74.900000000000006</v>
      </c>
      <c r="E1517" s="3" t="s">
        <v>7</v>
      </c>
      <c r="F1517" s="6">
        <v>44683.245833333327</v>
      </c>
    </row>
    <row r="1518" spans="1:6" x14ac:dyDescent="0.3">
      <c r="A1518" s="3">
        <v>1517</v>
      </c>
      <c r="B1518" s="4">
        <f t="shared" si="24"/>
        <v>0.89044943820224709</v>
      </c>
      <c r="C1518" s="5">
        <v>71.2</v>
      </c>
      <c r="D1518" s="5">
        <v>63.4</v>
      </c>
      <c r="E1518" s="3" t="s">
        <v>7</v>
      </c>
      <c r="F1518" s="6">
        <v>45755.897916666669</v>
      </c>
    </row>
    <row r="1519" spans="1:6" x14ac:dyDescent="0.3">
      <c r="A1519" s="3">
        <v>1518</v>
      </c>
      <c r="B1519" s="4">
        <f t="shared" si="24"/>
        <v>0.89083820662768043</v>
      </c>
      <c r="C1519" s="5">
        <v>51.3</v>
      </c>
      <c r="D1519" s="5">
        <v>45.7</v>
      </c>
      <c r="E1519" s="3" t="s">
        <v>11</v>
      </c>
      <c r="F1519" s="6">
        <v>44824.481944444437</v>
      </c>
    </row>
    <row r="1520" spans="1:6" x14ac:dyDescent="0.3">
      <c r="A1520" s="3">
        <v>1519</v>
      </c>
      <c r="B1520" s="4">
        <f t="shared" si="24"/>
        <v>0.89103690685413017</v>
      </c>
      <c r="C1520" s="5">
        <v>56.9</v>
      </c>
      <c r="D1520" s="5">
        <v>50.7</v>
      </c>
      <c r="E1520" s="3" t="s">
        <v>11</v>
      </c>
      <c r="F1520" s="6">
        <v>46000.390972222223</v>
      </c>
    </row>
    <row r="1521" spans="1:6" x14ac:dyDescent="0.3">
      <c r="A1521" s="3">
        <v>1520</v>
      </c>
      <c r="B1521" s="4">
        <f t="shared" si="24"/>
        <v>0.89165186500888105</v>
      </c>
      <c r="C1521" s="5">
        <v>56.3</v>
      </c>
      <c r="D1521" s="5">
        <v>50.2</v>
      </c>
      <c r="E1521" s="3" t="s">
        <v>7</v>
      </c>
      <c r="F1521" s="6">
        <v>44494.532638888893</v>
      </c>
    </row>
    <row r="1522" spans="1:6" x14ac:dyDescent="0.3">
      <c r="A1522" s="3">
        <v>1521</v>
      </c>
      <c r="B1522" s="4">
        <f t="shared" si="24"/>
        <v>0.89282385834109967</v>
      </c>
      <c r="C1522" s="5">
        <v>107.3</v>
      </c>
      <c r="D1522" s="5">
        <v>95.8</v>
      </c>
      <c r="E1522" s="3" t="s">
        <v>7</v>
      </c>
      <c r="F1522" s="6">
        <v>45664.657638888893</v>
      </c>
    </row>
    <row r="1523" spans="1:6" x14ac:dyDescent="0.3">
      <c r="A1523" s="3">
        <v>1522</v>
      </c>
      <c r="B1523" s="4">
        <f t="shared" si="24"/>
        <v>0.89302884615384603</v>
      </c>
      <c r="C1523" s="5">
        <v>83.2</v>
      </c>
      <c r="D1523" s="5">
        <v>74.3</v>
      </c>
      <c r="E1523" s="3" t="s">
        <v>7</v>
      </c>
      <c r="F1523" s="6">
        <v>45562.338888888888</v>
      </c>
    </row>
    <row r="1524" spans="1:6" x14ac:dyDescent="0.3">
      <c r="A1524" s="3">
        <v>1523</v>
      </c>
      <c r="B1524" s="4">
        <f t="shared" si="24"/>
        <v>0.89308176100628933</v>
      </c>
      <c r="C1524" s="5">
        <v>95.4</v>
      </c>
      <c r="D1524" s="5">
        <v>85.2</v>
      </c>
      <c r="E1524" s="3" t="s">
        <v>11</v>
      </c>
      <c r="F1524" s="6">
        <v>44997.980555555558</v>
      </c>
    </row>
    <row r="1525" spans="1:6" x14ac:dyDescent="0.3">
      <c r="A1525" s="3">
        <v>1524</v>
      </c>
      <c r="B1525" s="4">
        <f t="shared" si="24"/>
        <v>0.89310611928737416</v>
      </c>
      <c r="C1525" s="5">
        <v>129.1</v>
      </c>
      <c r="D1525" s="5">
        <v>115.3</v>
      </c>
      <c r="E1525" s="3" t="s">
        <v>7</v>
      </c>
      <c r="F1525" s="6">
        <v>45288.777777777781</v>
      </c>
    </row>
    <row r="1526" spans="1:6" x14ac:dyDescent="0.3">
      <c r="A1526" s="3">
        <v>1525</v>
      </c>
      <c r="B1526" s="4">
        <f t="shared" si="24"/>
        <v>0.89349112426035504</v>
      </c>
      <c r="C1526" s="5">
        <v>67.599999999999994</v>
      </c>
      <c r="D1526" s="5">
        <v>60.4</v>
      </c>
      <c r="E1526" s="3" t="s">
        <v>7</v>
      </c>
      <c r="F1526" s="6">
        <v>45947.356249999997</v>
      </c>
    </row>
    <row r="1527" spans="1:6" x14ac:dyDescent="0.3">
      <c r="A1527" s="3">
        <v>1526</v>
      </c>
      <c r="B1527" s="4">
        <f t="shared" si="24"/>
        <v>0.89349930843706771</v>
      </c>
      <c r="C1527" s="5">
        <v>72.3</v>
      </c>
      <c r="D1527" s="5">
        <v>64.599999999999994</v>
      </c>
      <c r="E1527" s="3" t="s">
        <v>11</v>
      </c>
      <c r="F1527" s="6">
        <v>44782.390972222223</v>
      </c>
    </row>
    <row r="1528" spans="1:6" x14ac:dyDescent="0.3">
      <c r="A1528" s="3">
        <v>1527</v>
      </c>
      <c r="B1528" s="4">
        <f t="shared" si="24"/>
        <v>0.89426321709786272</v>
      </c>
      <c r="C1528" s="5">
        <v>88.9</v>
      </c>
      <c r="D1528" s="5">
        <v>79.5</v>
      </c>
      <c r="E1528" s="3" t="s">
        <v>11</v>
      </c>
      <c r="F1528" s="6">
        <v>44875.28402777778</v>
      </c>
    </row>
    <row r="1529" spans="1:6" x14ac:dyDescent="0.3">
      <c r="A1529" s="3">
        <v>1528</v>
      </c>
      <c r="B1529" s="4">
        <f t="shared" si="24"/>
        <v>0.89430894308943099</v>
      </c>
      <c r="C1529" s="5">
        <v>86.1</v>
      </c>
      <c r="D1529" s="5">
        <v>77</v>
      </c>
      <c r="E1529" s="3" t="s">
        <v>7</v>
      </c>
      <c r="F1529" s="6">
        <v>45051.520833333343</v>
      </c>
    </row>
    <row r="1530" spans="1:6" x14ac:dyDescent="0.3">
      <c r="A1530" s="3">
        <v>1529</v>
      </c>
      <c r="B1530" s="4">
        <f t="shared" si="24"/>
        <v>0.89443378119001915</v>
      </c>
      <c r="C1530" s="5">
        <v>52.1</v>
      </c>
      <c r="D1530" s="5">
        <v>46.6</v>
      </c>
      <c r="E1530" s="3" t="s">
        <v>7</v>
      </c>
      <c r="F1530" s="6">
        <v>46178.05972222222</v>
      </c>
    </row>
    <row r="1531" spans="1:6" x14ac:dyDescent="0.3">
      <c r="A1531" s="3">
        <v>1530</v>
      </c>
      <c r="B1531" s="4">
        <f t="shared" si="24"/>
        <v>0.89455782312925169</v>
      </c>
      <c r="C1531" s="5">
        <v>88.2</v>
      </c>
      <c r="D1531" s="5">
        <v>78.900000000000006</v>
      </c>
      <c r="E1531" s="3" t="s">
        <v>7</v>
      </c>
      <c r="F1531" s="6">
        <v>44706.487500000003</v>
      </c>
    </row>
    <row r="1532" spans="1:6" x14ac:dyDescent="0.3">
      <c r="A1532" s="3">
        <v>1531</v>
      </c>
      <c r="B1532" s="4">
        <f t="shared" si="24"/>
        <v>0.89457364341085277</v>
      </c>
      <c r="C1532" s="5">
        <v>64.5</v>
      </c>
      <c r="D1532" s="5">
        <v>57.7</v>
      </c>
      <c r="E1532" s="3" t="s">
        <v>7</v>
      </c>
      <c r="F1532" s="6">
        <v>46204.55</v>
      </c>
    </row>
    <row r="1533" spans="1:6" x14ac:dyDescent="0.3">
      <c r="A1533" s="3">
        <v>1532</v>
      </c>
      <c r="B1533" s="4">
        <f t="shared" si="24"/>
        <v>0.89463220675944344</v>
      </c>
      <c r="C1533" s="5">
        <v>50.3</v>
      </c>
      <c r="D1533" s="5">
        <v>45</v>
      </c>
      <c r="E1533" s="3" t="s">
        <v>7</v>
      </c>
      <c r="F1533" s="6">
        <v>44789.486805555563</v>
      </c>
    </row>
    <row r="1534" spans="1:6" x14ac:dyDescent="0.3">
      <c r="A1534" s="3">
        <v>1533</v>
      </c>
      <c r="B1534" s="4">
        <f t="shared" si="24"/>
        <v>0.89527458492975731</v>
      </c>
      <c r="C1534" s="5">
        <v>78.3</v>
      </c>
      <c r="D1534" s="5">
        <v>70.099999999999994</v>
      </c>
      <c r="E1534" s="3" t="s">
        <v>11</v>
      </c>
      <c r="F1534" s="6">
        <v>44797.635416666657</v>
      </c>
    </row>
    <row r="1535" spans="1:6" x14ac:dyDescent="0.3">
      <c r="A1535" s="3">
        <v>1534</v>
      </c>
      <c r="B1535" s="4">
        <f t="shared" si="24"/>
        <v>0.89536878216123506</v>
      </c>
      <c r="C1535" s="5">
        <v>58.3</v>
      </c>
      <c r="D1535" s="5">
        <v>52.2</v>
      </c>
      <c r="E1535" s="3" t="s">
        <v>7</v>
      </c>
      <c r="F1535" s="6">
        <v>45775.091666666667</v>
      </c>
    </row>
    <row r="1536" spans="1:6" x14ac:dyDescent="0.3">
      <c r="A1536" s="3">
        <v>1535</v>
      </c>
      <c r="B1536" s="4">
        <f t="shared" si="24"/>
        <v>0.89567669172932318</v>
      </c>
      <c r="C1536" s="5">
        <v>106.4</v>
      </c>
      <c r="D1536" s="5">
        <v>95.3</v>
      </c>
      <c r="E1536" s="3" t="s">
        <v>7</v>
      </c>
      <c r="F1536" s="6">
        <v>45770.875694444447</v>
      </c>
    </row>
    <row r="1537" spans="1:6" x14ac:dyDescent="0.3">
      <c r="A1537" s="3">
        <v>1536</v>
      </c>
      <c r="B1537" s="4">
        <f t="shared" si="24"/>
        <v>0.89576946658491718</v>
      </c>
      <c r="C1537" s="5">
        <v>163.1</v>
      </c>
      <c r="D1537" s="5">
        <v>146.1</v>
      </c>
      <c r="E1537" s="3" t="s">
        <v>11</v>
      </c>
      <c r="F1537" s="6">
        <v>44745.925694444442</v>
      </c>
    </row>
    <row r="1538" spans="1:6" x14ac:dyDescent="0.3">
      <c r="A1538" s="3">
        <v>1537</v>
      </c>
      <c r="B1538" s="4">
        <f t="shared" ref="B1538:B1601" si="25">D1538/C1538</f>
        <v>0.89655172413793105</v>
      </c>
      <c r="C1538" s="5">
        <v>58</v>
      </c>
      <c r="D1538" s="5">
        <v>52</v>
      </c>
      <c r="E1538" s="3" t="s">
        <v>7</v>
      </c>
      <c r="F1538" s="6">
        <v>45076.258333333331</v>
      </c>
    </row>
    <row r="1539" spans="1:6" x14ac:dyDescent="0.3">
      <c r="A1539" s="3">
        <v>1538</v>
      </c>
      <c r="B1539" s="4">
        <f t="shared" si="25"/>
        <v>0.89761431411530812</v>
      </c>
      <c r="C1539" s="5">
        <v>100.6</v>
      </c>
      <c r="D1539" s="5">
        <v>90.3</v>
      </c>
      <c r="E1539" s="3" t="s">
        <v>11</v>
      </c>
      <c r="F1539" s="6">
        <v>44950.334722222222</v>
      </c>
    </row>
    <row r="1540" spans="1:6" x14ac:dyDescent="0.3">
      <c r="A1540" s="3">
        <v>1539</v>
      </c>
      <c r="B1540" s="4">
        <f t="shared" si="25"/>
        <v>0.89805825242718451</v>
      </c>
      <c r="C1540" s="5">
        <v>103</v>
      </c>
      <c r="D1540" s="5">
        <v>92.5</v>
      </c>
      <c r="E1540" s="3" t="s">
        <v>11</v>
      </c>
      <c r="F1540" s="6">
        <v>44879.786805555559</v>
      </c>
    </row>
    <row r="1541" spans="1:6" x14ac:dyDescent="0.3">
      <c r="A1541" s="3">
        <v>1540</v>
      </c>
      <c r="B1541" s="4">
        <f t="shared" si="25"/>
        <v>0.89826302729528551</v>
      </c>
      <c r="C1541" s="5">
        <v>80.599999999999994</v>
      </c>
      <c r="D1541" s="5">
        <v>72.400000000000006</v>
      </c>
      <c r="E1541" s="3" t="s">
        <v>7</v>
      </c>
      <c r="F1541" s="6">
        <v>46105.214583333327</v>
      </c>
    </row>
    <row r="1542" spans="1:6" x14ac:dyDescent="0.3">
      <c r="A1542" s="3">
        <v>1541</v>
      </c>
      <c r="B1542" s="4">
        <f t="shared" si="25"/>
        <v>0.8982808022922637</v>
      </c>
      <c r="C1542" s="5">
        <v>69.8</v>
      </c>
      <c r="D1542" s="5">
        <v>62.7</v>
      </c>
      <c r="E1542" s="3" t="s">
        <v>7</v>
      </c>
      <c r="F1542" s="6">
        <v>44652.294444444437</v>
      </c>
    </row>
    <row r="1543" spans="1:6" x14ac:dyDescent="0.3">
      <c r="A1543" s="3">
        <v>1542</v>
      </c>
      <c r="B1543" s="4">
        <f t="shared" si="25"/>
        <v>0.89868667917448408</v>
      </c>
      <c r="C1543" s="5">
        <v>53.3</v>
      </c>
      <c r="D1543" s="5">
        <v>47.9</v>
      </c>
      <c r="E1543" s="3" t="s">
        <v>11</v>
      </c>
      <c r="F1543" s="6">
        <v>45600.652777777781</v>
      </c>
    </row>
    <row r="1544" spans="1:6" x14ac:dyDescent="0.3">
      <c r="A1544" s="3">
        <v>1543</v>
      </c>
      <c r="B1544" s="4">
        <f t="shared" si="25"/>
        <v>0.8987915407854985</v>
      </c>
      <c r="C1544" s="5">
        <v>66.2</v>
      </c>
      <c r="D1544" s="5">
        <v>59.5</v>
      </c>
      <c r="E1544" s="3" t="s">
        <v>7</v>
      </c>
      <c r="F1544" s="6">
        <v>45426.352777777778</v>
      </c>
    </row>
    <row r="1545" spans="1:6" x14ac:dyDescent="0.3">
      <c r="A1545" s="3">
        <v>1544</v>
      </c>
      <c r="B1545" s="4">
        <f t="shared" si="25"/>
        <v>0.89898989898989901</v>
      </c>
      <c r="C1545" s="5">
        <v>69.3</v>
      </c>
      <c r="D1545" s="5">
        <v>62.3</v>
      </c>
      <c r="E1545" s="3" t="s">
        <v>7</v>
      </c>
      <c r="F1545" s="6">
        <v>45210.740972222222</v>
      </c>
    </row>
    <row r="1546" spans="1:6" x14ac:dyDescent="0.3">
      <c r="A1546" s="3">
        <v>1545</v>
      </c>
      <c r="B1546" s="4">
        <f t="shared" si="25"/>
        <v>0.89903846153846156</v>
      </c>
      <c r="C1546" s="5">
        <v>62.4</v>
      </c>
      <c r="D1546" s="5">
        <v>56.1</v>
      </c>
      <c r="E1546" s="3" t="s">
        <v>7</v>
      </c>
      <c r="F1546" s="6">
        <v>45677.400694444441</v>
      </c>
    </row>
    <row r="1547" spans="1:6" x14ac:dyDescent="0.3">
      <c r="A1547" s="3">
        <v>1546</v>
      </c>
      <c r="B1547" s="4">
        <f t="shared" si="25"/>
        <v>0.89931034482758621</v>
      </c>
      <c r="C1547" s="5">
        <v>72.5</v>
      </c>
      <c r="D1547" s="5">
        <v>65.2</v>
      </c>
      <c r="E1547" s="3" t="s">
        <v>11</v>
      </c>
      <c r="F1547" s="6">
        <v>45008.64166666667</v>
      </c>
    </row>
    <row r="1548" spans="1:6" x14ac:dyDescent="0.3">
      <c r="A1548" s="3">
        <v>1547</v>
      </c>
      <c r="B1548" s="4">
        <f t="shared" si="25"/>
        <v>0.89937888198757776</v>
      </c>
      <c r="C1548" s="5">
        <v>80.5</v>
      </c>
      <c r="D1548" s="5">
        <v>72.400000000000006</v>
      </c>
      <c r="E1548" s="3" t="s">
        <v>7</v>
      </c>
      <c r="F1548" s="6">
        <v>45819.3</v>
      </c>
    </row>
    <row r="1549" spans="1:6" x14ac:dyDescent="0.3">
      <c r="A1549" s="3">
        <v>1548</v>
      </c>
      <c r="B1549" s="4">
        <f t="shared" si="25"/>
        <v>0.89987325728770584</v>
      </c>
      <c r="C1549" s="5">
        <v>78.900000000000006</v>
      </c>
      <c r="D1549" s="5">
        <v>71</v>
      </c>
      <c r="E1549" s="3" t="s">
        <v>7</v>
      </c>
      <c r="F1549" s="6">
        <v>44830.936805555553</v>
      </c>
    </row>
    <row r="1550" spans="1:6" x14ac:dyDescent="0.3">
      <c r="A1550" s="3">
        <v>1549</v>
      </c>
      <c r="B1550" s="4">
        <f t="shared" si="25"/>
        <v>0.9</v>
      </c>
      <c r="C1550" s="5">
        <v>70</v>
      </c>
      <c r="D1550" s="5">
        <v>63</v>
      </c>
      <c r="E1550" s="3" t="s">
        <v>11</v>
      </c>
      <c r="F1550" s="6">
        <v>45331.334722222222</v>
      </c>
    </row>
    <row r="1551" spans="1:6" x14ac:dyDescent="0.3">
      <c r="A1551" s="3">
        <v>1550</v>
      </c>
      <c r="B1551" s="4">
        <f t="shared" si="25"/>
        <v>0.9</v>
      </c>
      <c r="C1551" s="5">
        <v>91</v>
      </c>
      <c r="D1551" s="5">
        <v>81.900000000000006</v>
      </c>
      <c r="E1551" s="3" t="s">
        <v>11</v>
      </c>
      <c r="F1551" s="6">
        <v>46160.371527777781</v>
      </c>
    </row>
    <row r="1552" spans="1:6" x14ac:dyDescent="0.3">
      <c r="A1552" s="3">
        <v>1551</v>
      </c>
      <c r="B1552" s="4">
        <f t="shared" si="25"/>
        <v>0.90052356020942415</v>
      </c>
      <c r="C1552" s="5">
        <v>114.6</v>
      </c>
      <c r="D1552" s="5">
        <v>103.2</v>
      </c>
      <c r="E1552" s="3" t="s">
        <v>11</v>
      </c>
      <c r="F1552" s="6">
        <v>45785.59097222222</v>
      </c>
    </row>
    <row r="1553" spans="1:6" x14ac:dyDescent="0.3">
      <c r="A1553" s="3">
        <v>1552</v>
      </c>
      <c r="B1553" s="4">
        <f t="shared" si="25"/>
        <v>0.90094339622641506</v>
      </c>
      <c r="C1553" s="5">
        <v>63.6</v>
      </c>
      <c r="D1553" s="5">
        <v>57.3</v>
      </c>
      <c r="E1553" s="3" t="s">
        <v>11</v>
      </c>
      <c r="F1553" s="6">
        <v>44938.561805555553</v>
      </c>
    </row>
    <row r="1554" spans="1:6" x14ac:dyDescent="0.3">
      <c r="A1554" s="3">
        <v>1553</v>
      </c>
      <c r="B1554" s="4">
        <f t="shared" si="25"/>
        <v>0.90157480314960625</v>
      </c>
      <c r="C1554" s="5">
        <v>101.6</v>
      </c>
      <c r="D1554" s="5">
        <v>91.6</v>
      </c>
      <c r="E1554" s="3" t="s">
        <v>7</v>
      </c>
      <c r="F1554" s="6">
        <v>45617.39166666667</v>
      </c>
    </row>
    <row r="1555" spans="1:6" x14ac:dyDescent="0.3">
      <c r="A1555" s="3">
        <v>1554</v>
      </c>
      <c r="B1555" s="4">
        <f t="shared" si="25"/>
        <v>0.90189328743545605</v>
      </c>
      <c r="C1555" s="5">
        <v>58.1</v>
      </c>
      <c r="D1555" s="5">
        <v>52.4</v>
      </c>
      <c r="E1555" s="3" t="s">
        <v>7</v>
      </c>
      <c r="F1555" s="6">
        <v>45706.548611111109</v>
      </c>
    </row>
    <row r="1556" spans="1:6" x14ac:dyDescent="0.3">
      <c r="A1556" s="3">
        <v>1555</v>
      </c>
      <c r="B1556" s="4">
        <f t="shared" si="25"/>
        <v>0.90196078431372551</v>
      </c>
      <c r="C1556" s="5">
        <v>61.2</v>
      </c>
      <c r="D1556" s="5">
        <v>55.2</v>
      </c>
      <c r="E1556" s="3" t="s">
        <v>11</v>
      </c>
      <c r="F1556" s="6">
        <v>45008.51458333333</v>
      </c>
    </row>
    <row r="1557" spans="1:6" x14ac:dyDescent="0.3">
      <c r="A1557" s="3">
        <v>1556</v>
      </c>
      <c r="B1557" s="4">
        <f t="shared" si="25"/>
        <v>0.90317460317460319</v>
      </c>
      <c r="C1557" s="5">
        <v>63</v>
      </c>
      <c r="D1557" s="5">
        <v>56.9</v>
      </c>
      <c r="E1557" s="3" t="s">
        <v>7</v>
      </c>
      <c r="F1557" s="6">
        <v>46017.335416666669</v>
      </c>
    </row>
    <row r="1558" spans="1:6" x14ac:dyDescent="0.3">
      <c r="A1558" s="3">
        <v>1557</v>
      </c>
      <c r="B1558" s="4">
        <f t="shared" si="25"/>
        <v>0.90345821325648412</v>
      </c>
      <c r="C1558" s="5">
        <v>69.400000000000006</v>
      </c>
      <c r="D1558" s="5">
        <v>62.7</v>
      </c>
      <c r="E1558" s="3" t="s">
        <v>11</v>
      </c>
      <c r="F1558" s="6">
        <v>45036.609027777777</v>
      </c>
    </row>
    <row r="1559" spans="1:6" x14ac:dyDescent="0.3">
      <c r="A1559" s="3">
        <v>1558</v>
      </c>
      <c r="B1559" s="4">
        <f t="shared" si="25"/>
        <v>0.90459363957597172</v>
      </c>
      <c r="C1559" s="5">
        <v>56.6</v>
      </c>
      <c r="D1559" s="5">
        <v>51.2</v>
      </c>
      <c r="E1559" s="3" t="s">
        <v>11</v>
      </c>
      <c r="F1559" s="6">
        <v>44501.550694444442</v>
      </c>
    </row>
    <row r="1560" spans="1:6" x14ac:dyDescent="0.3">
      <c r="A1560" s="3">
        <v>1559</v>
      </c>
      <c r="B1560" s="4">
        <f t="shared" si="25"/>
        <v>0.90465872156013005</v>
      </c>
      <c r="C1560" s="5">
        <v>92.3</v>
      </c>
      <c r="D1560" s="5">
        <v>83.5</v>
      </c>
      <c r="E1560" s="3" t="s">
        <v>11</v>
      </c>
      <c r="F1560" s="6">
        <v>46056.320138888892</v>
      </c>
    </row>
    <row r="1561" spans="1:6" x14ac:dyDescent="0.3">
      <c r="A1561" s="3">
        <v>1560</v>
      </c>
      <c r="B1561" s="4">
        <f t="shared" si="25"/>
        <v>0.90495867768595051</v>
      </c>
      <c r="C1561" s="5">
        <v>72.599999999999994</v>
      </c>
      <c r="D1561" s="5">
        <v>65.7</v>
      </c>
      <c r="E1561" s="3" t="s">
        <v>7</v>
      </c>
      <c r="F1561" s="6">
        <v>45628.333333333343</v>
      </c>
    </row>
    <row r="1562" spans="1:6" x14ac:dyDescent="0.3">
      <c r="A1562" s="3">
        <v>1561</v>
      </c>
      <c r="B1562" s="4">
        <f t="shared" si="25"/>
        <v>0.90523968784838349</v>
      </c>
      <c r="C1562" s="5">
        <v>89.7</v>
      </c>
      <c r="D1562" s="5">
        <v>81.2</v>
      </c>
      <c r="E1562" s="3" t="s">
        <v>7</v>
      </c>
      <c r="F1562" s="6">
        <v>44851.356944444437</v>
      </c>
    </row>
    <row r="1563" spans="1:6" x14ac:dyDescent="0.3">
      <c r="A1563" s="3">
        <v>1562</v>
      </c>
      <c r="B1563" s="4">
        <f t="shared" si="25"/>
        <v>0.9052969502407705</v>
      </c>
      <c r="C1563" s="5">
        <v>62.3</v>
      </c>
      <c r="D1563" s="5">
        <v>56.4</v>
      </c>
      <c r="E1563" s="3" t="s">
        <v>11</v>
      </c>
      <c r="F1563" s="6">
        <v>45211.27847222222</v>
      </c>
    </row>
    <row r="1564" spans="1:6" x14ac:dyDescent="0.3">
      <c r="A1564" s="3">
        <v>1563</v>
      </c>
      <c r="B1564" s="4">
        <f t="shared" si="25"/>
        <v>0.90579710144927539</v>
      </c>
      <c r="C1564" s="5">
        <v>69</v>
      </c>
      <c r="D1564" s="5">
        <v>62.5</v>
      </c>
      <c r="E1564" s="3" t="s">
        <v>11</v>
      </c>
      <c r="F1564" s="6">
        <v>45281.486805555563</v>
      </c>
    </row>
    <row r="1565" spans="1:6" x14ac:dyDescent="0.3">
      <c r="A1565" s="3">
        <v>1564</v>
      </c>
      <c r="B1565" s="4">
        <f t="shared" si="25"/>
        <v>0.9066147859922179</v>
      </c>
      <c r="C1565" s="5">
        <v>128.5</v>
      </c>
      <c r="D1565" s="5">
        <v>116.5</v>
      </c>
      <c r="E1565" s="3" t="s">
        <v>7</v>
      </c>
      <c r="F1565" s="6">
        <v>45830.881944444453</v>
      </c>
    </row>
    <row r="1566" spans="1:6" x14ac:dyDescent="0.3">
      <c r="A1566" s="3">
        <v>1565</v>
      </c>
      <c r="B1566" s="4">
        <f t="shared" si="25"/>
        <v>0.90690690690690701</v>
      </c>
      <c r="C1566" s="5">
        <v>66.599999999999994</v>
      </c>
      <c r="D1566" s="5">
        <v>60.4</v>
      </c>
      <c r="E1566" s="3" t="s">
        <v>7</v>
      </c>
      <c r="F1566" s="6">
        <v>44755.367361111108</v>
      </c>
    </row>
    <row r="1567" spans="1:6" x14ac:dyDescent="0.3">
      <c r="A1567" s="3">
        <v>1566</v>
      </c>
      <c r="B1567" s="4">
        <f t="shared" si="25"/>
        <v>0.90724269377382472</v>
      </c>
      <c r="C1567" s="5">
        <v>78.7</v>
      </c>
      <c r="D1567" s="5">
        <v>71.400000000000006</v>
      </c>
      <c r="E1567" s="3" t="s">
        <v>11</v>
      </c>
      <c r="F1567" s="6">
        <v>45741.713194444441</v>
      </c>
    </row>
    <row r="1568" spans="1:6" x14ac:dyDescent="0.3">
      <c r="A1568" s="3">
        <v>1567</v>
      </c>
      <c r="B1568" s="4">
        <f t="shared" si="25"/>
        <v>0.90738060781476138</v>
      </c>
      <c r="C1568" s="5">
        <v>69.099999999999994</v>
      </c>
      <c r="D1568" s="5">
        <v>62.7</v>
      </c>
      <c r="E1568" s="3" t="s">
        <v>7</v>
      </c>
      <c r="F1568" s="6">
        <v>44480.413888888892</v>
      </c>
    </row>
    <row r="1569" spans="1:6" x14ac:dyDescent="0.3">
      <c r="A1569" s="3">
        <v>1568</v>
      </c>
      <c r="B1569" s="4">
        <f t="shared" si="25"/>
        <v>0.90755208333333337</v>
      </c>
      <c r="C1569" s="5">
        <v>76.8</v>
      </c>
      <c r="D1569" s="5">
        <v>69.7</v>
      </c>
      <c r="E1569" s="3" t="s">
        <v>7</v>
      </c>
      <c r="F1569" s="6">
        <v>45216.368750000001</v>
      </c>
    </row>
    <row r="1570" spans="1:6" x14ac:dyDescent="0.3">
      <c r="A1570" s="3">
        <v>1569</v>
      </c>
      <c r="B1570" s="4">
        <f t="shared" si="25"/>
        <v>0.90774299835255357</v>
      </c>
      <c r="C1570" s="5">
        <v>60.7</v>
      </c>
      <c r="D1570" s="5">
        <v>55.1</v>
      </c>
      <c r="E1570" s="3" t="s">
        <v>11</v>
      </c>
      <c r="F1570" s="6">
        <v>45414.319444444453</v>
      </c>
    </row>
    <row r="1571" spans="1:6" x14ac:dyDescent="0.3">
      <c r="A1571" s="3">
        <v>1570</v>
      </c>
      <c r="B1571" s="4">
        <f t="shared" si="25"/>
        <v>0.90779014308426076</v>
      </c>
      <c r="C1571" s="5">
        <v>62.9</v>
      </c>
      <c r="D1571" s="5">
        <v>57.1</v>
      </c>
      <c r="E1571" s="3" t="s">
        <v>11</v>
      </c>
      <c r="F1571" s="6">
        <v>45565.62777777778</v>
      </c>
    </row>
    <row r="1572" spans="1:6" x14ac:dyDescent="0.3">
      <c r="A1572" s="3">
        <v>1571</v>
      </c>
      <c r="B1572" s="4">
        <f t="shared" si="25"/>
        <v>0.90795631825273027</v>
      </c>
      <c r="C1572" s="5">
        <v>64.099999999999994</v>
      </c>
      <c r="D1572" s="5">
        <v>58.2</v>
      </c>
      <c r="E1572" s="3" t="s">
        <v>11</v>
      </c>
      <c r="F1572" s="6">
        <v>45728.680555555547</v>
      </c>
    </row>
    <row r="1573" spans="1:6" x14ac:dyDescent="0.3">
      <c r="A1573" s="3">
        <v>1572</v>
      </c>
      <c r="B1573" s="4">
        <f t="shared" si="25"/>
        <v>0.90821256038647336</v>
      </c>
      <c r="C1573" s="5">
        <v>62.1</v>
      </c>
      <c r="D1573" s="5">
        <v>56.4</v>
      </c>
      <c r="E1573" s="3" t="s">
        <v>7</v>
      </c>
      <c r="F1573" s="6">
        <v>44901.296527777777</v>
      </c>
    </row>
    <row r="1574" spans="1:6" x14ac:dyDescent="0.3">
      <c r="A1574" s="3">
        <v>1573</v>
      </c>
      <c r="B1574" s="4">
        <f t="shared" si="25"/>
        <v>0.90850515463917536</v>
      </c>
      <c r="C1574" s="5">
        <v>77.599999999999994</v>
      </c>
      <c r="D1574" s="5">
        <v>70.5</v>
      </c>
      <c r="E1574" s="3" t="s">
        <v>7</v>
      </c>
      <c r="F1574" s="6">
        <v>44736.74722222222</v>
      </c>
    </row>
    <row r="1575" spans="1:6" x14ac:dyDescent="0.3">
      <c r="A1575" s="3">
        <v>1574</v>
      </c>
      <c r="B1575" s="4">
        <f t="shared" si="25"/>
        <v>0.90850515463917536</v>
      </c>
      <c r="C1575" s="5">
        <v>77.599999999999994</v>
      </c>
      <c r="D1575" s="5">
        <v>70.5</v>
      </c>
      <c r="E1575" s="3" t="s">
        <v>7</v>
      </c>
      <c r="F1575" s="6">
        <v>46189.265972222223</v>
      </c>
    </row>
    <row r="1576" spans="1:6" x14ac:dyDescent="0.3">
      <c r="A1576" s="3">
        <v>1575</v>
      </c>
      <c r="B1576" s="4">
        <f t="shared" si="25"/>
        <v>0.90865384615384626</v>
      </c>
      <c r="C1576" s="5">
        <v>62.4</v>
      </c>
      <c r="D1576" s="5">
        <v>56.7</v>
      </c>
      <c r="E1576" s="3" t="s">
        <v>7</v>
      </c>
      <c r="F1576" s="6">
        <v>44903.225694444453</v>
      </c>
    </row>
    <row r="1577" spans="1:6" x14ac:dyDescent="0.3">
      <c r="A1577" s="3">
        <v>1576</v>
      </c>
      <c r="B1577" s="4">
        <f t="shared" si="25"/>
        <v>0.90909090909090906</v>
      </c>
      <c r="C1577" s="5">
        <v>75.900000000000006</v>
      </c>
      <c r="D1577" s="5">
        <v>69</v>
      </c>
      <c r="E1577" s="3" t="s">
        <v>11</v>
      </c>
      <c r="F1577" s="6">
        <v>45575.522222222222</v>
      </c>
    </row>
    <row r="1578" spans="1:6" x14ac:dyDescent="0.3">
      <c r="A1578" s="3">
        <v>1577</v>
      </c>
      <c r="B1578" s="4">
        <f t="shared" si="25"/>
        <v>0.90962099125364437</v>
      </c>
      <c r="C1578" s="5">
        <v>68.599999999999994</v>
      </c>
      <c r="D1578" s="5">
        <v>62.4</v>
      </c>
      <c r="E1578" s="3" t="s">
        <v>11</v>
      </c>
      <c r="F1578" s="6">
        <v>45677.288194444453</v>
      </c>
    </row>
    <row r="1579" spans="1:6" x14ac:dyDescent="0.3">
      <c r="A1579" s="3">
        <v>1578</v>
      </c>
      <c r="B1579" s="4">
        <f t="shared" si="25"/>
        <v>0.90982503364737544</v>
      </c>
      <c r="C1579" s="5">
        <v>74.3</v>
      </c>
      <c r="D1579" s="5">
        <v>67.599999999999994</v>
      </c>
      <c r="E1579" s="3" t="s">
        <v>11</v>
      </c>
      <c r="F1579" s="6">
        <v>45562.552777777782</v>
      </c>
    </row>
    <row r="1580" spans="1:6" x14ac:dyDescent="0.3">
      <c r="A1580" s="3">
        <v>1579</v>
      </c>
      <c r="B1580" s="4">
        <f t="shared" si="25"/>
        <v>0.90982658959537577</v>
      </c>
      <c r="C1580" s="5">
        <v>86.5</v>
      </c>
      <c r="D1580" s="5">
        <v>78.7</v>
      </c>
      <c r="E1580" s="3" t="s">
        <v>7</v>
      </c>
      <c r="F1580" s="6">
        <v>45740.695833333331</v>
      </c>
    </row>
    <row r="1581" spans="1:6" x14ac:dyDescent="0.3">
      <c r="A1581" s="3">
        <v>1580</v>
      </c>
      <c r="B1581" s="4">
        <f t="shared" si="25"/>
        <v>0.91003911342894384</v>
      </c>
      <c r="C1581" s="5">
        <v>76.7</v>
      </c>
      <c r="D1581" s="5">
        <v>69.8</v>
      </c>
      <c r="E1581" s="3" t="s">
        <v>11</v>
      </c>
      <c r="F1581" s="6">
        <v>44651.626388888893</v>
      </c>
    </row>
    <row r="1582" spans="1:6" x14ac:dyDescent="0.3">
      <c r="A1582" s="3">
        <v>1581</v>
      </c>
      <c r="B1582" s="4">
        <f t="shared" si="25"/>
        <v>0.91034482758620683</v>
      </c>
      <c r="C1582" s="5">
        <v>58</v>
      </c>
      <c r="D1582" s="5">
        <v>52.8</v>
      </c>
      <c r="E1582" s="3" t="s">
        <v>11</v>
      </c>
      <c r="F1582" s="6">
        <v>45722.628472222219</v>
      </c>
    </row>
    <row r="1583" spans="1:6" x14ac:dyDescent="0.3">
      <c r="A1583" s="3">
        <v>1582</v>
      </c>
      <c r="B1583" s="4">
        <f t="shared" si="25"/>
        <v>0.91082802547770714</v>
      </c>
      <c r="C1583" s="5">
        <v>62.8</v>
      </c>
      <c r="D1583" s="5">
        <v>57.2</v>
      </c>
      <c r="E1583" s="3" t="s">
        <v>7</v>
      </c>
      <c r="F1583" s="6">
        <v>44770.59097222222</v>
      </c>
    </row>
    <row r="1584" spans="1:6" x14ac:dyDescent="0.3">
      <c r="A1584" s="3">
        <v>1583</v>
      </c>
      <c r="B1584" s="4">
        <f t="shared" si="25"/>
        <v>0.91153846153846152</v>
      </c>
      <c r="C1584" s="5">
        <v>104</v>
      </c>
      <c r="D1584" s="5">
        <v>94.8</v>
      </c>
      <c r="E1584" s="3" t="s">
        <v>11</v>
      </c>
      <c r="F1584" s="6">
        <v>44476.65</v>
      </c>
    </row>
    <row r="1585" spans="1:6" x14ac:dyDescent="0.3">
      <c r="A1585" s="3">
        <v>1584</v>
      </c>
      <c r="B1585" s="4">
        <f t="shared" si="25"/>
        <v>0.91176470588235281</v>
      </c>
      <c r="C1585" s="5">
        <v>71.400000000000006</v>
      </c>
      <c r="D1585" s="5">
        <v>65.099999999999994</v>
      </c>
      <c r="E1585" s="3" t="s">
        <v>11</v>
      </c>
      <c r="F1585" s="6">
        <v>44497.323611111111</v>
      </c>
    </row>
    <row r="1586" spans="1:6" x14ac:dyDescent="0.3">
      <c r="A1586" s="3">
        <v>1585</v>
      </c>
      <c r="B1586" s="4">
        <f t="shared" si="25"/>
        <v>0.91220556745182013</v>
      </c>
      <c r="C1586" s="5">
        <v>93.4</v>
      </c>
      <c r="D1586" s="5">
        <v>85.2</v>
      </c>
      <c r="E1586" s="3" t="s">
        <v>11</v>
      </c>
      <c r="F1586" s="6">
        <v>44791.423611111109</v>
      </c>
    </row>
    <row r="1587" spans="1:6" x14ac:dyDescent="0.3">
      <c r="A1587" s="3">
        <v>1586</v>
      </c>
      <c r="B1587" s="4">
        <f t="shared" si="25"/>
        <v>0.91254125412541243</v>
      </c>
      <c r="C1587" s="5">
        <v>60.6</v>
      </c>
      <c r="D1587" s="5">
        <v>55.3</v>
      </c>
      <c r="E1587" s="3" t="s">
        <v>11</v>
      </c>
      <c r="F1587" s="6">
        <v>44980.616666666669</v>
      </c>
    </row>
    <row r="1588" spans="1:6" x14ac:dyDescent="0.3">
      <c r="A1588" s="3">
        <v>1587</v>
      </c>
      <c r="B1588" s="4">
        <f t="shared" si="25"/>
        <v>0.91321243523316054</v>
      </c>
      <c r="C1588" s="5">
        <v>77.2</v>
      </c>
      <c r="D1588" s="5">
        <v>70.5</v>
      </c>
      <c r="E1588" s="3" t="s">
        <v>7</v>
      </c>
      <c r="F1588" s="6">
        <v>44847.554861111108</v>
      </c>
    </row>
    <row r="1589" spans="1:6" x14ac:dyDescent="0.3">
      <c r="A1589" s="3">
        <v>1588</v>
      </c>
      <c r="B1589" s="4">
        <f t="shared" si="25"/>
        <v>0.91328671328671329</v>
      </c>
      <c r="C1589" s="5">
        <v>71.5</v>
      </c>
      <c r="D1589" s="5">
        <v>65.3</v>
      </c>
      <c r="E1589" s="3" t="s">
        <v>7</v>
      </c>
      <c r="F1589" s="6">
        <v>45154.052777777782</v>
      </c>
    </row>
    <row r="1590" spans="1:6" x14ac:dyDescent="0.3">
      <c r="A1590" s="3">
        <v>1589</v>
      </c>
      <c r="B1590" s="4">
        <f t="shared" si="25"/>
        <v>0.91386861313868617</v>
      </c>
      <c r="C1590" s="5">
        <v>68.5</v>
      </c>
      <c r="D1590" s="5">
        <v>62.6</v>
      </c>
      <c r="E1590" s="3" t="s">
        <v>11</v>
      </c>
      <c r="F1590" s="6">
        <v>45259.799305555563</v>
      </c>
    </row>
    <row r="1591" spans="1:6" x14ac:dyDescent="0.3">
      <c r="A1591" s="3">
        <v>1590</v>
      </c>
      <c r="B1591" s="4">
        <f t="shared" si="25"/>
        <v>0.91420911528150139</v>
      </c>
      <c r="C1591" s="5">
        <v>74.599999999999994</v>
      </c>
      <c r="D1591" s="5">
        <v>68.2</v>
      </c>
      <c r="E1591" s="3" t="s">
        <v>11</v>
      </c>
      <c r="F1591" s="6">
        <v>45972.616666666669</v>
      </c>
    </row>
    <row r="1592" spans="1:6" x14ac:dyDescent="0.3">
      <c r="A1592" s="3">
        <v>1591</v>
      </c>
      <c r="B1592" s="4">
        <f t="shared" si="25"/>
        <v>0.91449814126394058</v>
      </c>
      <c r="C1592" s="5">
        <v>53.8</v>
      </c>
      <c r="D1592" s="5">
        <v>49.2</v>
      </c>
      <c r="E1592" s="3" t="s">
        <v>7</v>
      </c>
      <c r="F1592" s="6">
        <v>45992.359027777777</v>
      </c>
    </row>
    <row r="1593" spans="1:6" x14ac:dyDescent="0.3">
      <c r="A1593" s="3">
        <v>1592</v>
      </c>
      <c r="B1593" s="4">
        <f t="shared" si="25"/>
        <v>0.91479820627802677</v>
      </c>
      <c r="C1593" s="5">
        <v>89.2</v>
      </c>
      <c r="D1593" s="5">
        <v>81.599999999999994</v>
      </c>
      <c r="E1593" s="3" t="s">
        <v>11</v>
      </c>
      <c r="F1593" s="6">
        <v>44858.256944444453</v>
      </c>
    </row>
    <row r="1594" spans="1:6" x14ac:dyDescent="0.3">
      <c r="A1594" s="3">
        <v>1593</v>
      </c>
      <c r="B1594" s="4">
        <f t="shared" si="25"/>
        <v>0.91555097837281163</v>
      </c>
      <c r="C1594" s="5">
        <v>97.1</v>
      </c>
      <c r="D1594" s="5">
        <v>88.9</v>
      </c>
      <c r="E1594" s="3" t="s">
        <v>7</v>
      </c>
      <c r="F1594" s="6">
        <v>45181.517361111109</v>
      </c>
    </row>
    <row r="1595" spans="1:6" x14ac:dyDescent="0.3">
      <c r="A1595" s="3">
        <v>1594</v>
      </c>
      <c r="B1595" s="4">
        <f t="shared" si="25"/>
        <v>0.915686274509804</v>
      </c>
      <c r="C1595" s="5">
        <v>51</v>
      </c>
      <c r="D1595" s="5">
        <v>46.7</v>
      </c>
      <c r="E1595" s="3" t="s">
        <v>11</v>
      </c>
      <c r="F1595" s="6">
        <v>44840.145138888889</v>
      </c>
    </row>
    <row r="1596" spans="1:6" x14ac:dyDescent="0.3">
      <c r="A1596" s="3">
        <v>1595</v>
      </c>
      <c r="B1596" s="4">
        <f t="shared" si="25"/>
        <v>0.91590493601462519</v>
      </c>
      <c r="C1596" s="5">
        <v>54.7</v>
      </c>
      <c r="D1596" s="5">
        <v>50.1</v>
      </c>
      <c r="E1596" s="3" t="s">
        <v>7</v>
      </c>
      <c r="F1596" s="6">
        <v>46103.928472222222</v>
      </c>
    </row>
    <row r="1597" spans="1:6" x14ac:dyDescent="0.3">
      <c r="A1597" s="3">
        <v>1596</v>
      </c>
      <c r="B1597" s="4">
        <f t="shared" si="25"/>
        <v>0.91605392156862753</v>
      </c>
      <c r="C1597" s="5">
        <v>163.19999999999999</v>
      </c>
      <c r="D1597" s="5">
        <v>149.5</v>
      </c>
      <c r="E1597" s="3" t="s">
        <v>11</v>
      </c>
      <c r="F1597" s="6">
        <v>45670.981944444437</v>
      </c>
    </row>
    <row r="1598" spans="1:6" x14ac:dyDescent="0.3">
      <c r="A1598" s="3">
        <v>1597</v>
      </c>
      <c r="B1598" s="4">
        <f t="shared" si="25"/>
        <v>0.91612903225806452</v>
      </c>
      <c r="C1598" s="5">
        <v>108.5</v>
      </c>
      <c r="D1598" s="5">
        <v>99.4</v>
      </c>
      <c r="E1598" s="3" t="s">
        <v>7</v>
      </c>
      <c r="F1598" s="6">
        <v>44649.720833333333</v>
      </c>
    </row>
    <row r="1599" spans="1:6" x14ac:dyDescent="0.3">
      <c r="A1599" s="3">
        <v>1598</v>
      </c>
      <c r="B1599" s="4">
        <f t="shared" si="25"/>
        <v>0.91697191697191682</v>
      </c>
      <c r="C1599" s="5">
        <v>81.900000000000006</v>
      </c>
      <c r="D1599" s="5">
        <v>75.099999999999994</v>
      </c>
      <c r="E1599" s="3" t="s">
        <v>7</v>
      </c>
      <c r="F1599" s="6">
        <v>45636.647222222222</v>
      </c>
    </row>
    <row r="1600" spans="1:6" x14ac:dyDescent="0.3">
      <c r="A1600" s="3">
        <v>1599</v>
      </c>
      <c r="B1600" s="4">
        <f t="shared" si="25"/>
        <v>0.91703056768558944</v>
      </c>
      <c r="C1600" s="5">
        <v>68.7</v>
      </c>
      <c r="D1600" s="5">
        <v>63</v>
      </c>
      <c r="E1600" s="3" t="s">
        <v>7</v>
      </c>
      <c r="F1600" s="6">
        <v>45177.790972222218</v>
      </c>
    </row>
    <row r="1601" spans="1:6" x14ac:dyDescent="0.3">
      <c r="A1601" s="3">
        <v>1600</v>
      </c>
      <c r="B1601" s="4">
        <f t="shared" si="25"/>
        <v>0.91724137931034488</v>
      </c>
      <c r="C1601" s="5">
        <v>58</v>
      </c>
      <c r="D1601" s="5">
        <v>53.2</v>
      </c>
      <c r="E1601" s="3" t="s">
        <v>7</v>
      </c>
      <c r="F1601" s="6">
        <v>45704.980555555558</v>
      </c>
    </row>
    <row r="1602" spans="1:6" x14ac:dyDescent="0.3">
      <c r="A1602" s="3">
        <v>1601</v>
      </c>
      <c r="B1602" s="4">
        <f t="shared" ref="B1602:B1665" si="26">D1602/C1602</f>
        <v>0.91734052111410602</v>
      </c>
      <c r="C1602" s="5">
        <v>111.3</v>
      </c>
      <c r="D1602" s="5">
        <v>102.1</v>
      </c>
      <c r="E1602" s="3" t="s">
        <v>11</v>
      </c>
      <c r="F1602" s="6">
        <v>44545.857638888891</v>
      </c>
    </row>
    <row r="1603" spans="1:6" x14ac:dyDescent="0.3">
      <c r="A1603" s="3">
        <v>1602</v>
      </c>
      <c r="B1603" s="4">
        <f t="shared" si="26"/>
        <v>0.91790193842645385</v>
      </c>
      <c r="C1603" s="5">
        <v>87.7</v>
      </c>
      <c r="D1603" s="5">
        <v>80.5</v>
      </c>
      <c r="E1603" s="3" t="s">
        <v>11</v>
      </c>
      <c r="F1603" s="6">
        <v>45589.590277777781</v>
      </c>
    </row>
    <row r="1604" spans="1:6" x14ac:dyDescent="0.3">
      <c r="A1604" s="3">
        <v>1603</v>
      </c>
      <c r="B1604" s="4">
        <f t="shared" si="26"/>
        <v>0.91798941798941791</v>
      </c>
      <c r="C1604" s="5">
        <v>113.4</v>
      </c>
      <c r="D1604" s="5">
        <v>104.1</v>
      </c>
      <c r="E1604" s="3" t="s">
        <v>11</v>
      </c>
      <c r="F1604" s="6">
        <v>44832.418749999997</v>
      </c>
    </row>
    <row r="1605" spans="1:6" x14ac:dyDescent="0.3">
      <c r="A1605" s="3">
        <v>1604</v>
      </c>
      <c r="B1605" s="4">
        <f t="shared" si="26"/>
        <v>0.91830985915492958</v>
      </c>
      <c r="C1605" s="5">
        <v>71</v>
      </c>
      <c r="D1605" s="5">
        <v>65.2</v>
      </c>
      <c r="E1605" s="3" t="s">
        <v>7</v>
      </c>
      <c r="F1605" s="6">
        <v>44881.302083333343</v>
      </c>
    </row>
    <row r="1606" spans="1:6" x14ac:dyDescent="0.3">
      <c r="A1606" s="3">
        <v>1605</v>
      </c>
      <c r="B1606" s="4">
        <f t="shared" si="26"/>
        <v>0.91839557399723382</v>
      </c>
      <c r="C1606" s="5">
        <v>72.3</v>
      </c>
      <c r="D1606" s="5">
        <v>66.400000000000006</v>
      </c>
      <c r="E1606" s="3" t="s">
        <v>11</v>
      </c>
      <c r="F1606" s="6">
        <v>44721.568749999999</v>
      </c>
    </row>
    <row r="1607" spans="1:6" x14ac:dyDescent="0.3">
      <c r="A1607" s="3">
        <v>1606</v>
      </c>
      <c r="B1607" s="4">
        <f t="shared" si="26"/>
        <v>0.91840607210626179</v>
      </c>
      <c r="C1607" s="5">
        <v>105.4</v>
      </c>
      <c r="D1607" s="5">
        <v>96.8</v>
      </c>
      <c r="E1607" s="3" t="s">
        <v>11</v>
      </c>
      <c r="F1607" s="6">
        <v>45807.056250000001</v>
      </c>
    </row>
    <row r="1608" spans="1:6" x14ac:dyDescent="0.3">
      <c r="A1608" s="3">
        <v>1607</v>
      </c>
      <c r="B1608" s="4">
        <f t="shared" si="26"/>
        <v>0.91904047976011982</v>
      </c>
      <c r="C1608" s="5">
        <v>66.7</v>
      </c>
      <c r="D1608" s="5">
        <v>61.3</v>
      </c>
      <c r="E1608" s="3" t="s">
        <v>11</v>
      </c>
      <c r="F1608" s="6">
        <v>45576.632638888892</v>
      </c>
    </row>
    <row r="1609" spans="1:6" x14ac:dyDescent="0.3">
      <c r="A1609" s="3">
        <v>1608</v>
      </c>
      <c r="B1609" s="4">
        <f t="shared" si="26"/>
        <v>0.91909689557855134</v>
      </c>
      <c r="C1609" s="5">
        <v>106.3</v>
      </c>
      <c r="D1609" s="5">
        <v>97.7</v>
      </c>
      <c r="E1609" s="3" t="s">
        <v>7</v>
      </c>
      <c r="F1609" s="6">
        <v>45344.613194444442</v>
      </c>
    </row>
    <row r="1610" spans="1:6" x14ac:dyDescent="0.3">
      <c r="A1610" s="3">
        <v>1609</v>
      </c>
      <c r="B1610" s="4">
        <f t="shared" si="26"/>
        <v>0.9191343963553531</v>
      </c>
      <c r="C1610" s="5">
        <v>87.8</v>
      </c>
      <c r="D1610" s="5">
        <v>80.7</v>
      </c>
      <c r="E1610" s="3" t="s">
        <v>7</v>
      </c>
      <c r="F1610" s="6">
        <v>45825.415277777778</v>
      </c>
    </row>
    <row r="1611" spans="1:6" x14ac:dyDescent="0.3">
      <c r="A1611" s="3">
        <v>1610</v>
      </c>
      <c r="B1611" s="4">
        <f t="shared" si="26"/>
        <v>0.91940615058324504</v>
      </c>
      <c r="C1611" s="5">
        <v>94.3</v>
      </c>
      <c r="D1611" s="5">
        <v>86.7</v>
      </c>
      <c r="E1611" s="3" t="s">
        <v>7</v>
      </c>
      <c r="F1611" s="6">
        <v>45848.603472222218</v>
      </c>
    </row>
    <row r="1612" spans="1:6" x14ac:dyDescent="0.3">
      <c r="A1612" s="3">
        <v>1611</v>
      </c>
      <c r="B1612" s="4">
        <f t="shared" si="26"/>
        <v>0.92011019283746565</v>
      </c>
      <c r="C1612" s="5">
        <v>72.599999999999994</v>
      </c>
      <c r="D1612" s="5">
        <v>66.8</v>
      </c>
      <c r="E1612" s="3" t="s">
        <v>7</v>
      </c>
      <c r="F1612" s="6">
        <v>44848.415277777778</v>
      </c>
    </row>
    <row r="1613" spans="1:6" x14ac:dyDescent="0.3">
      <c r="A1613" s="3">
        <v>1612</v>
      </c>
      <c r="B1613" s="4">
        <f t="shared" si="26"/>
        <v>0.92095357590966132</v>
      </c>
      <c r="C1613" s="5">
        <v>79.7</v>
      </c>
      <c r="D1613" s="5">
        <v>73.400000000000006</v>
      </c>
      <c r="E1613" s="3" t="s">
        <v>7</v>
      </c>
      <c r="F1613" s="6">
        <v>44733.472916666673</v>
      </c>
    </row>
    <row r="1614" spans="1:6" x14ac:dyDescent="0.3">
      <c r="A1614" s="3">
        <v>1613</v>
      </c>
      <c r="B1614" s="4">
        <f t="shared" si="26"/>
        <v>0.92141756548536202</v>
      </c>
      <c r="C1614" s="5">
        <v>64.900000000000006</v>
      </c>
      <c r="D1614" s="5">
        <v>59.8</v>
      </c>
      <c r="E1614" s="3" t="s">
        <v>11</v>
      </c>
      <c r="F1614" s="6">
        <v>45497.570833333331</v>
      </c>
    </row>
    <row r="1615" spans="1:6" x14ac:dyDescent="0.3">
      <c r="A1615" s="3">
        <v>1614</v>
      </c>
      <c r="B1615" s="4">
        <f t="shared" si="26"/>
        <v>0.92209856915739274</v>
      </c>
      <c r="C1615" s="5">
        <v>62.9</v>
      </c>
      <c r="D1615" s="5">
        <v>58</v>
      </c>
      <c r="E1615" s="3" t="s">
        <v>11</v>
      </c>
      <c r="F1615" s="6">
        <v>44691.22152777778</v>
      </c>
    </row>
    <row r="1616" spans="1:6" x14ac:dyDescent="0.3">
      <c r="A1616" s="3">
        <v>1615</v>
      </c>
      <c r="B1616" s="4">
        <f t="shared" si="26"/>
        <v>0.92256637168141598</v>
      </c>
      <c r="C1616" s="5">
        <v>90.4</v>
      </c>
      <c r="D1616" s="5">
        <v>83.4</v>
      </c>
      <c r="E1616" s="3" t="s">
        <v>11</v>
      </c>
      <c r="F1616" s="6">
        <v>46170.593055555553</v>
      </c>
    </row>
    <row r="1617" spans="1:6" x14ac:dyDescent="0.3">
      <c r="A1617" s="3">
        <v>1616</v>
      </c>
      <c r="B1617" s="4">
        <f t="shared" si="26"/>
        <v>0.92294220665499127</v>
      </c>
      <c r="C1617" s="5">
        <v>57.1</v>
      </c>
      <c r="D1617" s="5">
        <v>52.7</v>
      </c>
      <c r="E1617" s="3" t="s">
        <v>11</v>
      </c>
      <c r="F1617" s="6">
        <v>44670.375</v>
      </c>
    </row>
    <row r="1618" spans="1:6" x14ac:dyDescent="0.3">
      <c r="A1618" s="3">
        <v>1617</v>
      </c>
      <c r="B1618" s="4">
        <f t="shared" si="26"/>
        <v>0.92297111416781286</v>
      </c>
      <c r="C1618" s="5">
        <v>72.7</v>
      </c>
      <c r="D1618" s="5">
        <v>67.099999999999994</v>
      </c>
      <c r="E1618" s="3" t="s">
        <v>11</v>
      </c>
      <c r="F1618" s="6">
        <v>45414.790972222218</v>
      </c>
    </row>
    <row r="1619" spans="1:6" x14ac:dyDescent="0.3">
      <c r="A1619" s="3">
        <v>1618</v>
      </c>
      <c r="B1619" s="4">
        <f t="shared" si="26"/>
        <v>0.92333058532563894</v>
      </c>
      <c r="C1619" s="5">
        <v>121.3</v>
      </c>
      <c r="D1619" s="5">
        <v>112</v>
      </c>
      <c r="E1619" s="3" t="s">
        <v>7</v>
      </c>
      <c r="F1619" s="6">
        <v>45855.275000000001</v>
      </c>
    </row>
    <row r="1620" spans="1:6" x14ac:dyDescent="0.3">
      <c r="A1620" s="3">
        <v>1619</v>
      </c>
      <c r="B1620" s="4">
        <f t="shared" si="26"/>
        <v>0.92335766423357668</v>
      </c>
      <c r="C1620" s="5">
        <v>54.8</v>
      </c>
      <c r="D1620" s="5">
        <v>50.6</v>
      </c>
      <c r="E1620" s="3" t="s">
        <v>11</v>
      </c>
      <c r="F1620" s="6">
        <v>44693.631944444453</v>
      </c>
    </row>
    <row r="1621" spans="1:6" x14ac:dyDescent="0.3">
      <c r="A1621" s="3">
        <v>1620</v>
      </c>
      <c r="B1621" s="4">
        <f t="shared" si="26"/>
        <v>0.92338177014531042</v>
      </c>
      <c r="C1621" s="5">
        <v>75.7</v>
      </c>
      <c r="D1621" s="5">
        <v>69.900000000000006</v>
      </c>
      <c r="E1621" s="3" t="s">
        <v>11</v>
      </c>
      <c r="F1621" s="6">
        <v>45338.291666666657</v>
      </c>
    </row>
    <row r="1622" spans="1:6" x14ac:dyDescent="0.3">
      <c r="A1622" s="3">
        <v>1621</v>
      </c>
      <c r="B1622" s="4">
        <f t="shared" si="26"/>
        <v>0.92371705963938977</v>
      </c>
      <c r="C1622" s="5">
        <v>72.099999999999994</v>
      </c>
      <c r="D1622" s="5">
        <v>66.599999999999994</v>
      </c>
      <c r="E1622" s="3" t="s">
        <v>11</v>
      </c>
      <c r="F1622" s="6">
        <v>45289.748611111107</v>
      </c>
    </row>
    <row r="1623" spans="1:6" x14ac:dyDescent="0.3">
      <c r="A1623" s="3">
        <v>1622</v>
      </c>
      <c r="B1623" s="4">
        <f t="shared" si="26"/>
        <v>0.9239669421487603</v>
      </c>
      <c r="C1623" s="5">
        <v>60.5</v>
      </c>
      <c r="D1623" s="5">
        <v>55.9</v>
      </c>
      <c r="E1623" s="3" t="s">
        <v>11</v>
      </c>
      <c r="F1623" s="6">
        <v>44823.001388888893</v>
      </c>
    </row>
    <row r="1624" spans="1:6" x14ac:dyDescent="0.3">
      <c r="A1624" s="3">
        <v>1623</v>
      </c>
      <c r="B1624" s="4">
        <f t="shared" si="26"/>
        <v>0.9247524752475248</v>
      </c>
      <c r="C1624" s="5">
        <v>101</v>
      </c>
      <c r="D1624" s="5">
        <v>93.4</v>
      </c>
      <c r="E1624" s="3" t="s">
        <v>11</v>
      </c>
      <c r="F1624" s="6">
        <v>45615.168749999997</v>
      </c>
    </row>
    <row r="1625" spans="1:6" x14ac:dyDescent="0.3">
      <c r="A1625" s="3">
        <v>1624</v>
      </c>
      <c r="B1625" s="4">
        <f t="shared" si="26"/>
        <v>0.92551505546751189</v>
      </c>
      <c r="C1625" s="5">
        <v>63.1</v>
      </c>
      <c r="D1625" s="5">
        <v>58.4</v>
      </c>
      <c r="E1625" s="3" t="s">
        <v>7</v>
      </c>
      <c r="F1625" s="6">
        <v>44918.78125</v>
      </c>
    </row>
    <row r="1626" spans="1:6" x14ac:dyDescent="0.3">
      <c r="A1626" s="3">
        <v>1625</v>
      </c>
      <c r="B1626" s="4">
        <f t="shared" si="26"/>
        <v>0.92568659127625197</v>
      </c>
      <c r="C1626" s="5">
        <v>61.9</v>
      </c>
      <c r="D1626" s="5">
        <v>57.3</v>
      </c>
      <c r="E1626" s="3" t="s">
        <v>11</v>
      </c>
      <c r="F1626" s="6">
        <v>46133.613888888889</v>
      </c>
    </row>
    <row r="1627" spans="1:6" x14ac:dyDescent="0.3">
      <c r="A1627" s="3">
        <v>1626</v>
      </c>
      <c r="B1627" s="4">
        <f t="shared" si="26"/>
        <v>0.92699490662139228</v>
      </c>
      <c r="C1627" s="5">
        <v>58.9</v>
      </c>
      <c r="D1627" s="5">
        <v>54.6</v>
      </c>
      <c r="E1627" s="3" t="s">
        <v>11</v>
      </c>
      <c r="F1627" s="6">
        <v>44999.520833333343</v>
      </c>
    </row>
    <row r="1628" spans="1:6" x14ac:dyDescent="0.3">
      <c r="A1628" s="3">
        <v>1627</v>
      </c>
      <c r="B1628" s="4">
        <f t="shared" si="26"/>
        <v>0.9274447949526814</v>
      </c>
      <c r="C1628" s="5">
        <v>63.4</v>
      </c>
      <c r="D1628" s="5">
        <v>58.8</v>
      </c>
      <c r="E1628" s="3" t="s">
        <v>11</v>
      </c>
      <c r="F1628" s="6">
        <v>45565.365277777782</v>
      </c>
    </row>
    <row r="1629" spans="1:6" x14ac:dyDescent="0.3">
      <c r="A1629" s="3">
        <v>1628</v>
      </c>
      <c r="B1629" s="4">
        <f t="shared" si="26"/>
        <v>0.92792792792792789</v>
      </c>
      <c r="C1629" s="5">
        <v>99.9</v>
      </c>
      <c r="D1629" s="5">
        <v>92.7</v>
      </c>
      <c r="E1629" s="3" t="s">
        <v>11</v>
      </c>
      <c r="F1629" s="6">
        <v>45377.438888888893</v>
      </c>
    </row>
    <row r="1630" spans="1:6" x14ac:dyDescent="0.3">
      <c r="A1630" s="3">
        <v>1629</v>
      </c>
      <c r="B1630" s="4">
        <f t="shared" si="26"/>
        <v>0.92801556420233466</v>
      </c>
      <c r="C1630" s="5">
        <v>51.4</v>
      </c>
      <c r="D1630" s="5">
        <v>47.7</v>
      </c>
      <c r="E1630" s="3" t="s">
        <v>7</v>
      </c>
      <c r="F1630" s="6">
        <v>45100.672222222223</v>
      </c>
    </row>
    <row r="1631" spans="1:6" x14ac:dyDescent="0.3">
      <c r="A1631" s="3">
        <v>1630</v>
      </c>
      <c r="B1631" s="4">
        <f t="shared" si="26"/>
        <v>0.93030009680542103</v>
      </c>
      <c r="C1631" s="5">
        <v>103.3</v>
      </c>
      <c r="D1631" s="5">
        <v>96.1</v>
      </c>
      <c r="E1631" s="3" t="s">
        <v>11</v>
      </c>
      <c r="F1631" s="6">
        <v>44911.476388888892</v>
      </c>
    </row>
    <row r="1632" spans="1:6" x14ac:dyDescent="0.3">
      <c r="A1632" s="3">
        <v>1631</v>
      </c>
      <c r="B1632" s="4">
        <f t="shared" si="26"/>
        <v>0.93050847457627117</v>
      </c>
      <c r="C1632" s="5">
        <v>59</v>
      </c>
      <c r="D1632" s="5">
        <v>54.9</v>
      </c>
      <c r="E1632" s="3" t="s">
        <v>7</v>
      </c>
      <c r="F1632" s="6">
        <v>44628.688888888893</v>
      </c>
    </row>
    <row r="1633" spans="1:6" x14ac:dyDescent="0.3">
      <c r="A1633" s="3">
        <v>1632</v>
      </c>
      <c r="B1633" s="4">
        <f t="shared" si="26"/>
        <v>0.93055555555555558</v>
      </c>
      <c r="C1633" s="5">
        <v>50.4</v>
      </c>
      <c r="D1633" s="5">
        <v>46.9</v>
      </c>
      <c r="E1633" s="3" t="s">
        <v>11</v>
      </c>
      <c r="F1633" s="6">
        <v>46206.276388888888</v>
      </c>
    </row>
    <row r="1634" spans="1:6" x14ac:dyDescent="0.3">
      <c r="A1634" s="3">
        <v>1633</v>
      </c>
      <c r="B1634" s="4">
        <f t="shared" si="26"/>
        <v>0.93061979648473636</v>
      </c>
      <c r="C1634" s="5">
        <v>108.1</v>
      </c>
      <c r="D1634" s="5">
        <v>100.6</v>
      </c>
      <c r="E1634" s="3" t="s">
        <v>7</v>
      </c>
      <c r="F1634" s="6">
        <v>44623.706250000003</v>
      </c>
    </row>
    <row r="1635" spans="1:6" x14ac:dyDescent="0.3">
      <c r="A1635" s="3">
        <v>1634</v>
      </c>
      <c r="B1635" s="4">
        <f t="shared" si="26"/>
        <v>0.93170731707317067</v>
      </c>
      <c r="C1635" s="5">
        <v>61.5</v>
      </c>
      <c r="D1635" s="5">
        <v>57.3</v>
      </c>
      <c r="E1635" s="3" t="s">
        <v>11</v>
      </c>
      <c r="F1635" s="6">
        <v>45208.630555555559</v>
      </c>
    </row>
    <row r="1636" spans="1:6" x14ac:dyDescent="0.3">
      <c r="A1636" s="3">
        <v>1635</v>
      </c>
      <c r="B1636" s="4">
        <f t="shared" si="26"/>
        <v>0.93177387914230014</v>
      </c>
      <c r="C1636" s="5">
        <v>51.3</v>
      </c>
      <c r="D1636" s="5">
        <v>47.8</v>
      </c>
      <c r="E1636" s="3" t="s">
        <v>7</v>
      </c>
      <c r="F1636" s="6">
        <v>44628.559027777781</v>
      </c>
    </row>
    <row r="1637" spans="1:6" x14ac:dyDescent="0.3">
      <c r="A1637" s="3">
        <v>1636</v>
      </c>
      <c r="B1637" s="4">
        <f t="shared" si="26"/>
        <v>0.93181818181818188</v>
      </c>
      <c r="C1637" s="5">
        <v>52.8</v>
      </c>
      <c r="D1637" s="5">
        <v>49.2</v>
      </c>
      <c r="E1637" s="3" t="s">
        <v>7</v>
      </c>
      <c r="F1637" s="6">
        <v>45722.89166666667</v>
      </c>
    </row>
    <row r="1638" spans="1:6" x14ac:dyDescent="0.3">
      <c r="A1638" s="3">
        <v>1637</v>
      </c>
      <c r="B1638" s="4">
        <f t="shared" si="26"/>
        <v>0.93196405648267</v>
      </c>
      <c r="C1638" s="5">
        <v>77.900000000000006</v>
      </c>
      <c r="D1638" s="5">
        <v>72.599999999999994</v>
      </c>
      <c r="E1638" s="3" t="s">
        <v>11</v>
      </c>
      <c r="F1638" s="6">
        <v>45625.876388888893</v>
      </c>
    </row>
    <row r="1639" spans="1:6" x14ac:dyDescent="0.3">
      <c r="A1639" s="3">
        <v>1638</v>
      </c>
      <c r="B1639" s="4">
        <f t="shared" si="26"/>
        <v>0.93230769230769228</v>
      </c>
      <c r="C1639" s="5">
        <v>65</v>
      </c>
      <c r="D1639" s="5">
        <v>60.6</v>
      </c>
      <c r="E1639" s="3" t="s">
        <v>11</v>
      </c>
      <c r="F1639" s="6">
        <v>46134.384027777778</v>
      </c>
    </row>
    <row r="1640" spans="1:6" x14ac:dyDescent="0.3">
      <c r="A1640" s="3">
        <v>1639</v>
      </c>
      <c r="B1640" s="4">
        <f t="shared" si="26"/>
        <v>0.93313953488372103</v>
      </c>
      <c r="C1640" s="5">
        <v>68.8</v>
      </c>
      <c r="D1640" s="5">
        <v>64.2</v>
      </c>
      <c r="E1640" s="3" t="s">
        <v>7</v>
      </c>
      <c r="F1640" s="6">
        <v>44830.044444444437</v>
      </c>
    </row>
    <row r="1641" spans="1:6" x14ac:dyDescent="0.3">
      <c r="A1641" s="3">
        <v>1640</v>
      </c>
      <c r="B1641" s="4">
        <f t="shared" si="26"/>
        <v>0.93353028064992616</v>
      </c>
      <c r="C1641" s="5">
        <v>67.7</v>
      </c>
      <c r="D1641" s="5">
        <v>63.2</v>
      </c>
      <c r="E1641" s="3" t="s">
        <v>7</v>
      </c>
      <c r="F1641" s="6">
        <v>44663.37777777778</v>
      </c>
    </row>
    <row r="1642" spans="1:6" x14ac:dyDescent="0.3">
      <c r="A1642" s="3">
        <v>1641</v>
      </c>
      <c r="B1642" s="4">
        <f t="shared" si="26"/>
        <v>0.93357933579335795</v>
      </c>
      <c r="C1642" s="5">
        <v>54.2</v>
      </c>
      <c r="D1642" s="5">
        <v>50.6</v>
      </c>
      <c r="E1642" s="3" t="s">
        <v>11</v>
      </c>
      <c r="F1642" s="6">
        <v>45275.4375</v>
      </c>
    </row>
    <row r="1643" spans="1:6" x14ac:dyDescent="0.3">
      <c r="A1643" s="3">
        <v>1642</v>
      </c>
      <c r="B1643" s="4">
        <f t="shared" si="26"/>
        <v>0.93525179856115104</v>
      </c>
      <c r="C1643" s="5">
        <v>55.6</v>
      </c>
      <c r="D1643" s="5">
        <v>52</v>
      </c>
      <c r="E1643" s="3" t="s">
        <v>11</v>
      </c>
      <c r="F1643" s="6">
        <v>44796.637499999997</v>
      </c>
    </row>
    <row r="1644" spans="1:6" x14ac:dyDescent="0.3">
      <c r="A1644" s="3">
        <v>1643</v>
      </c>
      <c r="B1644" s="4">
        <f t="shared" si="26"/>
        <v>0.93581960104076334</v>
      </c>
      <c r="C1644" s="5">
        <v>115.3</v>
      </c>
      <c r="D1644" s="5">
        <v>107.9</v>
      </c>
      <c r="E1644" s="3" t="s">
        <v>7</v>
      </c>
      <c r="F1644" s="6">
        <v>45975.348611111112</v>
      </c>
    </row>
    <row r="1645" spans="1:6" x14ac:dyDescent="0.3">
      <c r="A1645" s="3">
        <v>1644</v>
      </c>
      <c r="B1645" s="4">
        <f t="shared" si="26"/>
        <v>0.93629929221435781</v>
      </c>
      <c r="C1645" s="5">
        <v>98.9</v>
      </c>
      <c r="D1645" s="5">
        <v>92.6</v>
      </c>
      <c r="E1645" s="3" t="s">
        <v>11</v>
      </c>
      <c r="F1645" s="6">
        <v>45061.72152777778</v>
      </c>
    </row>
    <row r="1646" spans="1:6" x14ac:dyDescent="0.3">
      <c r="A1646" s="3">
        <v>1645</v>
      </c>
      <c r="B1646" s="4">
        <f t="shared" si="26"/>
        <v>0.93692509855453354</v>
      </c>
      <c r="C1646" s="5">
        <v>76.099999999999994</v>
      </c>
      <c r="D1646" s="5">
        <v>71.3</v>
      </c>
      <c r="E1646" s="3" t="s">
        <v>11</v>
      </c>
      <c r="F1646" s="6">
        <v>44678.700694444437</v>
      </c>
    </row>
    <row r="1647" spans="1:6" x14ac:dyDescent="0.3">
      <c r="A1647" s="3">
        <v>1646</v>
      </c>
      <c r="B1647" s="4">
        <f t="shared" si="26"/>
        <v>0.9374358974358975</v>
      </c>
      <c r="C1647" s="5">
        <v>97.5</v>
      </c>
      <c r="D1647" s="5">
        <v>91.4</v>
      </c>
      <c r="E1647" s="3" t="s">
        <v>7</v>
      </c>
      <c r="F1647" s="6">
        <v>44925.658333333333</v>
      </c>
    </row>
    <row r="1648" spans="1:6" x14ac:dyDescent="0.3">
      <c r="A1648" s="3">
        <v>1647</v>
      </c>
      <c r="B1648" s="4">
        <f t="shared" si="26"/>
        <v>0.93786982248520712</v>
      </c>
      <c r="C1648" s="5">
        <v>67.599999999999994</v>
      </c>
      <c r="D1648" s="5">
        <v>63.4</v>
      </c>
      <c r="E1648" s="3" t="s">
        <v>7</v>
      </c>
      <c r="F1648" s="6">
        <v>45564.875694444447</v>
      </c>
    </row>
    <row r="1649" spans="1:6" x14ac:dyDescent="0.3">
      <c r="A1649" s="3">
        <v>1648</v>
      </c>
      <c r="B1649" s="4">
        <f t="shared" si="26"/>
        <v>0.93856655290102387</v>
      </c>
      <c r="C1649" s="5">
        <v>58.6</v>
      </c>
      <c r="D1649" s="5">
        <v>55</v>
      </c>
      <c r="E1649" s="3" t="s">
        <v>7</v>
      </c>
      <c r="F1649" s="6">
        <v>44658.590277777781</v>
      </c>
    </row>
    <row r="1650" spans="1:6" x14ac:dyDescent="0.3">
      <c r="A1650" s="3">
        <v>1649</v>
      </c>
      <c r="B1650" s="4">
        <f t="shared" si="26"/>
        <v>0.93904208998548622</v>
      </c>
      <c r="C1650" s="5">
        <v>68.900000000000006</v>
      </c>
      <c r="D1650" s="5">
        <v>64.7</v>
      </c>
      <c r="E1650" s="3" t="s">
        <v>11</v>
      </c>
      <c r="F1650" s="6">
        <v>46041.03125</v>
      </c>
    </row>
    <row r="1651" spans="1:6" x14ac:dyDescent="0.3">
      <c r="A1651" s="3">
        <v>1650</v>
      </c>
      <c r="B1651" s="4">
        <f t="shared" si="26"/>
        <v>0.93965517241379326</v>
      </c>
      <c r="C1651" s="5">
        <v>69.599999999999994</v>
      </c>
      <c r="D1651" s="5">
        <v>65.400000000000006</v>
      </c>
      <c r="E1651" s="3" t="s">
        <v>11</v>
      </c>
      <c r="F1651" s="6">
        <v>44613.430555555547</v>
      </c>
    </row>
    <row r="1652" spans="1:6" x14ac:dyDescent="0.3">
      <c r="A1652" s="3">
        <v>1651</v>
      </c>
      <c r="B1652" s="4">
        <f t="shared" si="26"/>
        <v>0.94017094017094016</v>
      </c>
      <c r="C1652" s="5">
        <v>58.5</v>
      </c>
      <c r="D1652" s="5">
        <v>55</v>
      </c>
      <c r="E1652" s="3" t="s">
        <v>7</v>
      </c>
      <c r="F1652" s="6">
        <v>45735.556944444441</v>
      </c>
    </row>
    <row r="1653" spans="1:6" x14ac:dyDescent="0.3">
      <c r="A1653" s="3">
        <v>1652</v>
      </c>
      <c r="B1653" s="4">
        <f t="shared" si="26"/>
        <v>0.94038748137108807</v>
      </c>
      <c r="C1653" s="5">
        <v>67.099999999999994</v>
      </c>
      <c r="D1653" s="5">
        <v>63.1</v>
      </c>
      <c r="E1653" s="3" t="s">
        <v>11</v>
      </c>
      <c r="F1653" s="6">
        <v>44918.654166666667</v>
      </c>
    </row>
    <row r="1654" spans="1:6" x14ac:dyDescent="0.3">
      <c r="A1654" s="3">
        <v>1653</v>
      </c>
      <c r="B1654" s="4">
        <f t="shared" si="26"/>
        <v>0.94059405940594054</v>
      </c>
      <c r="C1654" s="5">
        <v>60.6</v>
      </c>
      <c r="D1654" s="5">
        <v>57</v>
      </c>
      <c r="E1654" s="3" t="s">
        <v>7</v>
      </c>
      <c r="F1654" s="6">
        <v>46135.551388888889</v>
      </c>
    </row>
    <row r="1655" spans="1:6" x14ac:dyDescent="0.3">
      <c r="A1655" s="3">
        <v>1654</v>
      </c>
      <c r="B1655" s="4">
        <f t="shared" si="26"/>
        <v>0.94167852062588908</v>
      </c>
      <c r="C1655" s="5">
        <v>70.3</v>
      </c>
      <c r="D1655" s="5">
        <v>66.2</v>
      </c>
      <c r="E1655" s="3" t="s">
        <v>11</v>
      </c>
      <c r="F1655" s="6">
        <v>45387.759722222218</v>
      </c>
    </row>
    <row r="1656" spans="1:6" x14ac:dyDescent="0.3">
      <c r="A1656" s="3">
        <v>1655</v>
      </c>
      <c r="B1656" s="4">
        <f t="shared" si="26"/>
        <v>0.94178082191780821</v>
      </c>
      <c r="C1656" s="5">
        <v>58.4</v>
      </c>
      <c r="D1656" s="5">
        <v>55</v>
      </c>
      <c r="E1656" s="3" t="s">
        <v>11</v>
      </c>
      <c r="F1656" s="6">
        <v>45519.513888888891</v>
      </c>
    </row>
    <row r="1657" spans="1:6" x14ac:dyDescent="0.3">
      <c r="A1657" s="3">
        <v>1656</v>
      </c>
      <c r="B1657" s="4">
        <f t="shared" si="26"/>
        <v>0.94201312910284452</v>
      </c>
      <c r="C1657" s="5">
        <v>91.4</v>
      </c>
      <c r="D1657" s="5">
        <v>86.1</v>
      </c>
      <c r="E1657" s="3" t="s">
        <v>11</v>
      </c>
      <c r="F1657" s="6">
        <v>44928.043055555558</v>
      </c>
    </row>
    <row r="1658" spans="1:6" x14ac:dyDescent="0.3">
      <c r="A1658" s="3">
        <v>1657</v>
      </c>
      <c r="B1658" s="4">
        <f t="shared" si="26"/>
        <v>0.94237918215613392</v>
      </c>
      <c r="C1658" s="5">
        <v>53.8</v>
      </c>
      <c r="D1658" s="5">
        <v>50.7</v>
      </c>
      <c r="E1658" s="3" t="s">
        <v>11</v>
      </c>
      <c r="F1658" s="6">
        <v>44705.3125</v>
      </c>
    </row>
    <row r="1659" spans="1:6" x14ac:dyDescent="0.3">
      <c r="A1659" s="3">
        <v>1658</v>
      </c>
      <c r="B1659" s="4">
        <f t="shared" si="26"/>
        <v>0.94238156209987201</v>
      </c>
      <c r="C1659" s="5">
        <v>78.099999999999994</v>
      </c>
      <c r="D1659" s="5">
        <v>73.599999999999994</v>
      </c>
      <c r="E1659" s="3" t="s">
        <v>11</v>
      </c>
      <c r="F1659" s="6">
        <v>45881.375</v>
      </c>
    </row>
    <row r="1660" spans="1:6" x14ac:dyDescent="0.3">
      <c r="A1660" s="3">
        <v>1659</v>
      </c>
      <c r="B1660" s="4">
        <f t="shared" si="26"/>
        <v>0.94371482176360222</v>
      </c>
      <c r="C1660" s="5">
        <v>106.6</v>
      </c>
      <c r="D1660" s="5">
        <v>100.6</v>
      </c>
      <c r="E1660" s="3" t="s">
        <v>7</v>
      </c>
      <c r="F1660" s="6">
        <v>45596.116666666669</v>
      </c>
    </row>
    <row r="1661" spans="1:6" x14ac:dyDescent="0.3">
      <c r="A1661" s="3">
        <v>1660</v>
      </c>
      <c r="B1661" s="4">
        <f t="shared" si="26"/>
        <v>0.94388327721661058</v>
      </c>
      <c r="C1661" s="5">
        <v>89.1</v>
      </c>
      <c r="D1661" s="5">
        <v>84.1</v>
      </c>
      <c r="E1661" s="3" t="s">
        <v>11</v>
      </c>
      <c r="F1661" s="6">
        <v>45688.727083333331</v>
      </c>
    </row>
    <row r="1662" spans="1:6" x14ac:dyDescent="0.3">
      <c r="A1662" s="3">
        <v>1661</v>
      </c>
      <c r="B1662" s="4">
        <f t="shared" si="26"/>
        <v>0.94495412844036697</v>
      </c>
      <c r="C1662" s="5">
        <v>76.3</v>
      </c>
      <c r="D1662" s="5">
        <v>72.099999999999994</v>
      </c>
      <c r="E1662" s="3" t="s">
        <v>11</v>
      </c>
      <c r="F1662" s="6">
        <v>44526.557638888888</v>
      </c>
    </row>
    <row r="1663" spans="1:6" x14ac:dyDescent="0.3">
      <c r="A1663" s="3">
        <v>1662</v>
      </c>
      <c r="B1663" s="4">
        <f t="shared" si="26"/>
        <v>0.94511149228130364</v>
      </c>
      <c r="C1663" s="5">
        <v>58.3</v>
      </c>
      <c r="D1663" s="5">
        <v>55.1</v>
      </c>
      <c r="E1663" s="3" t="s">
        <v>7</v>
      </c>
      <c r="F1663" s="6">
        <v>45092.111805555563</v>
      </c>
    </row>
    <row r="1664" spans="1:6" x14ac:dyDescent="0.3">
      <c r="A1664" s="3">
        <v>1663</v>
      </c>
      <c r="B1664" s="4">
        <f t="shared" si="26"/>
        <v>0.94520547945205491</v>
      </c>
      <c r="C1664" s="5">
        <v>58.4</v>
      </c>
      <c r="D1664" s="5">
        <v>55.2</v>
      </c>
      <c r="E1664" s="3" t="s">
        <v>11</v>
      </c>
      <c r="F1664" s="6">
        <v>44841.116666666669</v>
      </c>
    </row>
    <row r="1665" spans="1:6" x14ac:dyDescent="0.3">
      <c r="A1665" s="3">
        <v>1664</v>
      </c>
      <c r="B1665" s="4">
        <f t="shared" si="26"/>
        <v>0.94525547445255476</v>
      </c>
      <c r="C1665" s="5">
        <v>54.8</v>
      </c>
      <c r="D1665" s="5">
        <v>51.8</v>
      </c>
      <c r="E1665" s="3" t="s">
        <v>11</v>
      </c>
      <c r="F1665" s="6">
        <v>44881.102083333331</v>
      </c>
    </row>
    <row r="1666" spans="1:6" x14ac:dyDescent="0.3">
      <c r="A1666" s="3">
        <v>1665</v>
      </c>
      <c r="B1666" s="4">
        <f t="shared" ref="B1666:B1729" si="27">D1666/C1666</f>
        <v>0.9455909943714822</v>
      </c>
      <c r="C1666" s="5">
        <v>53.3</v>
      </c>
      <c r="D1666" s="5">
        <v>50.4</v>
      </c>
      <c r="E1666" s="3" t="s">
        <v>11</v>
      </c>
      <c r="F1666" s="6">
        <v>44859.644444444442</v>
      </c>
    </row>
    <row r="1667" spans="1:6" x14ac:dyDescent="0.3">
      <c r="A1667" s="3">
        <v>1666</v>
      </c>
      <c r="B1667" s="4">
        <f t="shared" si="27"/>
        <v>0.94659300184162065</v>
      </c>
      <c r="C1667" s="5">
        <v>54.3</v>
      </c>
      <c r="D1667" s="5">
        <v>51.4</v>
      </c>
      <c r="E1667" s="3" t="s">
        <v>7</v>
      </c>
      <c r="F1667" s="6">
        <v>44858.560416666667</v>
      </c>
    </row>
    <row r="1668" spans="1:6" x14ac:dyDescent="0.3">
      <c r="A1668" s="3">
        <v>1667</v>
      </c>
      <c r="B1668" s="4">
        <f t="shared" si="27"/>
        <v>0.94712643678160924</v>
      </c>
      <c r="C1668" s="5">
        <v>174</v>
      </c>
      <c r="D1668" s="5">
        <v>164.8</v>
      </c>
      <c r="E1668" s="3" t="s">
        <v>7</v>
      </c>
      <c r="F1668" s="6">
        <v>46114.469444444447</v>
      </c>
    </row>
    <row r="1669" spans="1:6" x14ac:dyDescent="0.3">
      <c r="A1669" s="3">
        <v>1668</v>
      </c>
      <c r="B1669" s="4">
        <f t="shared" si="27"/>
        <v>0.94825355756791718</v>
      </c>
      <c r="C1669" s="5">
        <v>77.3</v>
      </c>
      <c r="D1669" s="5">
        <v>73.3</v>
      </c>
      <c r="E1669" s="3" t="s">
        <v>7</v>
      </c>
      <c r="F1669" s="6">
        <v>45056.736111111109</v>
      </c>
    </row>
    <row r="1670" spans="1:6" x14ac:dyDescent="0.3">
      <c r="A1670" s="3">
        <v>1669</v>
      </c>
      <c r="B1670" s="4">
        <f t="shared" si="27"/>
        <v>0.94912280701754392</v>
      </c>
      <c r="C1670" s="5">
        <v>57</v>
      </c>
      <c r="D1670" s="5">
        <v>54.1</v>
      </c>
      <c r="E1670" s="3" t="s">
        <v>7</v>
      </c>
      <c r="F1670" s="6">
        <v>44882.681250000001</v>
      </c>
    </row>
    <row r="1671" spans="1:6" x14ac:dyDescent="0.3">
      <c r="A1671" s="3">
        <v>1670</v>
      </c>
      <c r="B1671" s="4">
        <f t="shared" si="27"/>
        <v>0.94912280701754392</v>
      </c>
      <c r="C1671" s="5">
        <v>57</v>
      </c>
      <c r="D1671" s="5">
        <v>54.1</v>
      </c>
      <c r="E1671" s="3" t="s">
        <v>11</v>
      </c>
      <c r="F1671" s="6">
        <v>45671.348611111112</v>
      </c>
    </row>
    <row r="1672" spans="1:6" x14ac:dyDescent="0.3">
      <c r="A1672" s="3">
        <v>1671</v>
      </c>
      <c r="B1672" s="4">
        <f t="shared" si="27"/>
        <v>0.95000000000000007</v>
      </c>
      <c r="C1672" s="5">
        <v>56</v>
      </c>
      <c r="D1672" s="5">
        <v>53.2</v>
      </c>
      <c r="E1672" s="3" t="s">
        <v>11</v>
      </c>
      <c r="F1672" s="6">
        <v>44924.74722222222</v>
      </c>
    </row>
    <row r="1673" spans="1:6" x14ac:dyDescent="0.3">
      <c r="A1673" s="3">
        <v>1672</v>
      </c>
      <c r="B1673" s="4">
        <f t="shared" si="27"/>
        <v>0.95053475935828868</v>
      </c>
      <c r="C1673" s="5">
        <v>74.8</v>
      </c>
      <c r="D1673" s="5">
        <v>71.099999999999994</v>
      </c>
      <c r="E1673" s="3" t="s">
        <v>11</v>
      </c>
      <c r="F1673" s="6">
        <v>44936.60833333333</v>
      </c>
    </row>
    <row r="1674" spans="1:6" x14ac:dyDescent="0.3">
      <c r="A1674" s="3">
        <v>1673</v>
      </c>
      <c r="B1674" s="4">
        <f t="shared" si="27"/>
        <v>0.95053475935828868</v>
      </c>
      <c r="C1674" s="5">
        <v>74.8</v>
      </c>
      <c r="D1674" s="5">
        <v>71.099999999999994</v>
      </c>
      <c r="E1674" s="3" t="s">
        <v>7</v>
      </c>
      <c r="F1674" s="6">
        <v>46176.927777777782</v>
      </c>
    </row>
    <row r="1675" spans="1:6" x14ac:dyDescent="0.3">
      <c r="A1675" s="3">
        <v>1674</v>
      </c>
      <c r="B1675" s="4">
        <f t="shared" si="27"/>
        <v>0.95076400679117146</v>
      </c>
      <c r="C1675" s="5">
        <v>58.9</v>
      </c>
      <c r="D1675" s="5">
        <v>56</v>
      </c>
      <c r="E1675" s="3" t="s">
        <v>7</v>
      </c>
      <c r="F1675" s="6">
        <v>44924.628472222219</v>
      </c>
    </row>
    <row r="1676" spans="1:6" x14ac:dyDescent="0.3">
      <c r="A1676" s="3">
        <v>1675</v>
      </c>
      <c r="B1676" s="4">
        <f t="shared" si="27"/>
        <v>0.95092024539877296</v>
      </c>
      <c r="C1676" s="5">
        <v>81.5</v>
      </c>
      <c r="D1676" s="5">
        <v>77.5</v>
      </c>
      <c r="E1676" s="3" t="s">
        <v>11</v>
      </c>
      <c r="F1676" s="6">
        <v>45602.384722222218</v>
      </c>
    </row>
    <row r="1677" spans="1:6" x14ac:dyDescent="0.3">
      <c r="A1677" s="3">
        <v>1676</v>
      </c>
      <c r="B1677" s="4">
        <f t="shared" si="27"/>
        <v>0.95094339622641511</v>
      </c>
      <c r="C1677" s="5">
        <v>53</v>
      </c>
      <c r="D1677" s="5">
        <v>50.4</v>
      </c>
      <c r="E1677" s="3" t="s">
        <v>11</v>
      </c>
      <c r="F1677" s="6">
        <v>44763.279861111107</v>
      </c>
    </row>
    <row r="1678" spans="1:6" x14ac:dyDescent="0.3">
      <c r="A1678" s="3">
        <v>1677</v>
      </c>
      <c r="B1678" s="4">
        <f t="shared" si="27"/>
        <v>0.95128205128205134</v>
      </c>
      <c r="C1678" s="5">
        <v>78</v>
      </c>
      <c r="D1678" s="5">
        <v>74.2</v>
      </c>
      <c r="E1678" s="3" t="s">
        <v>7</v>
      </c>
      <c r="F1678" s="6">
        <v>45758.579861111109</v>
      </c>
    </row>
    <row r="1679" spans="1:6" x14ac:dyDescent="0.3">
      <c r="A1679" s="3">
        <v>1678</v>
      </c>
      <c r="B1679" s="4">
        <f t="shared" si="27"/>
        <v>0.95145631067961167</v>
      </c>
      <c r="C1679" s="5">
        <v>61.8</v>
      </c>
      <c r="D1679" s="5">
        <v>58.8</v>
      </c>
      <c r="E1679" s="3" t="s">
        <v>11</v>
      </c>
      <c r="F1679" s="6">
        <v>44838.928472222222</v>
      </c>
    </row>
    <row r="1680" spans="1:6" x14ac:dyDescent="0.3">
      <c r="A1680" s="3">
        <v>1679</v>
      </c>
      <c r="B1680" s="4">
        <f t="shared" si="27"/>
        <v>0.9516539440203563</v>
      </c>
      <c r="C1680" s="5">
        <v>78.599999999999994</v>
      </c>
      <c r="D1680" s="5">
        <v>74.8</v>
      </c>
      <c r="E1680" s="3" t="s">
        <v>11</v>
      </c>
      <c r="F1680" s="6">
        <v>46175.275000000001</v>
      </c>
    </row>
    <row r="1681" spans="1:6" x14ac:dyDescent="0.3">
      <c r="A1681" s="3">
        <v>1680</v>
      </c>
      <c r="B1681" s="4">
        <f t="shared" si="27"/>
        <v>0.95195530726256983</v>
      </c>
      <c r="C1681" s="5">
        <v>89.5</v>
      </c>
      <c r="D1681" s="5">
        <v>85.2</v>
      </c>
      <c r="E1681" s="3" t="s">
        <v>11</v>
      </c>
      <c r="F1681" s="6">
        <v>45602.76666666667</v>
      </c>
    </row>
    <row r="1682" spans="1:6" x14ac:dyDescent="0.3">
      <c r="A1682" s="3">
        <v>1681</v>
      </c>
      <c r="B1682" s="4">
        <f t="shared" si="27"/>
        <v>0.95261239368165262</v>
      </c>
      <c r="C1682" s="5">
        <v>82.3</v>
      </c>
      <c r="D1682" s="5">
        <v>78.400000000000006</v>
      </c>
      <c r="E1682" s="3" t="s">
        <v>11</v>
      </c>
      <c r="F1682" s="6">
        <v>44679.318749999999</v>
      </c>
    </row>
    <row r="1683" spans="1:6" x14ac:dyDescent="0.3">
      <c r="A1683" s="3">
        <v>1682</v>
      </c>
      <c r="B1683" s="4">
        <f t="shared" si="27"/>
        <v>0.95283018867924529</v>
      </c>
      <c r="C1683" s="5">
        <v>53</v>
      </c>
      <c r="D1683" s="5">
        <v>50.5</v>
      </c>
      <c r="E1683" s="3" t="s">
        <v>11</v>
      </c>
      <c r="F1683" s="6">
        <v>46091.727083333331</v>
      </c>
    </row>
    <row r="1684" spans="1:6" x14ac:dyDescent="0.3">
      <c r="A1684" s="3">
        <v>1683</v>
      </c>
      <c r="B1684" s="4">
        <f t="shared" si="27"/>
        <v>0.95408163265306134</v>
      </c>
      <c r="C1684" s="5">
        <v>58.8</v>
      </c>
      <c r="D1684" s="5">
        <v>56.1</v>
      </c>
      <c r="E1684" s="3" t="s">
        <v>7</v>
      </c>
      <c r="F1684" s="6">
        <v>45975.652777777781</v>
      </c>
    </row>
    <row r="1685" spans="1:6" x14ac:dyDescent="0.3">
      <c r="A1685" s="3">
        <v>1684</v>
      </c>
      <c r="B1685" s="4">
        <f t="shared" si="27"/>
        <v>0.95432300163132144</v>
      </c>
      <c r="C1685" s="5">
        <v>61.3</v>
      </c>
      <c r="D1685" s="5">
        <v>58.5</v>
      </c>
      <c r="E1685" s="3" t="s">
        <v>11</v>
      </c>
      <c r="F1685" s="6">
        <v>45805.433333333327</v>
      </c>
    </row>
    <row r="1686" spans="1:6" x14ac:dyDescent="0.3">
      <c r="A1686" s="3">
        <v>1685</v>
      </c>
      <c r="B1686" s="4">
        <f t="shared" si="27"/>
        <v>0.95481335952848734</v>
      </c>
      <c r="C1686" s="5">
        <v>50.9</v>
      </c>
      <c r="D1686" s="5">
        <v>48.6</v>
      </c>
      <c r="E1686" s="3" t="s">
        <v>11</v>
      </c>
      <c r="F1686" s="6">
        <v>45686.302083333343</v>
      </c>
    </row>
    <row r="1687" spans="1:6" x14ac:dyDescent="0.3">
      <c r="A1687" s="3">
        <v>1686</v>
      </c>
      <c r="B1687" s="4">
        <f t="shared" si="27"/>
        <v>0.95542347696879648</v>
      </c>
      <c r="C1687" s="5">
        <v>67.3</v>
      </c>
      <c r="D1687" s="5">
        <v>64.3</v>
      </c>
      <c r="E1687" s="3" t="s">
        <v>11</v>
      </c>
      <c r="F1687" s="6">
        <v>44883.663194444453</v>
      </c>
    </row>
    <row r="1688" spans="1:6" x14ac:dyDescent="0.3">
      <c r="A1688" s="3">
        <v>1687</v>
      </c>
      <c r="B1688" s="4">
        <f t="shared" si="27"/>
        <v>0.95569620253164556</v>
      </c>
      <c r="C1688" s="5">
        <v>63.2</v>
      </c>
      <c r="D1688" s="5">
        <v>60.4</v>
      </c>
      <c r="E1688" s="3" t="s">
        <v>11</v>
      </c>
      <c r="F1688" s="6">
        <v>44663.547222222223</v>
      </c>
    </row>
    <row r="1689" spans="1:6" x14ac:dyDescent="0.3">
      <c r="A1689" s="3">
        <v>1688</v>
      </c>
      <c r="B1689" s="4">
        <f t="shared" si="27"/>
        <v>0.95607613469985353</v>
      </c>
      <c r="C1689" s="5">
        <v>68.3</v>
      </c>
      <c r="D1689" s="5">
        <v>65.3</v>
      </c>
      <c r="E1689" s="3" t="s">
        <v>7</v>
      </c>
      <c r="F1689" s="6">
        <v>45834.489583333343</v>
      </c>
    </row>
    <row r="1690" spans="1:6" x14ac:dyDescent="0.3">
      <c r="A1690" s="3">
        <v>1689</v>
      </c>
      <c r="B1690" s="4">
        <f t="shared" si="27"/>
        <v>0.95627376425855504</v>
      </c>
      <c r="C1690" s="5">
        <v>52.6</v>
      </c>
      <c r="D1690" s="5">
        <v>50.3</v>
      </c>
      <c r="E1690" s="3" t="s">
        <v>11</v>
      </c>
      <c r="F1690" s="6">
        <v>44789.332638888889</v>
      </c>
    </row>
    <row r="1691" spans="1:6" x14ac:dyDescent="0.3">
      <c r="A1691" s="3">
        <v>1690</v>
      </c>
      <c r="B1691" s="4">
        <f t="shared" si="27"/>
        <v>0.95665024630541862</v>
      </c>
      <c r="C1691" s="5">
        <v>101.5</v>
      </c>
      <c r="D1691" s="5">
        <v>97.1</v>
      </c>
      <c r="E1691" s="3" t="s">
        <v>7</v>
      </c>
      <c r="F1691" s="6">
        <v>44861.447222222218</v>
      </c>
    </row>
    <row r="1692" spans="1:6" x14ac:dyDescent="0.3">
      <c r="A1692" s="3">
        <v>1691</v>
      </c>
      <c r="B1692" s="4">
        <f t="shared" si="27"/>
        <v>0.95741056218057918</v>
      </c>
      <c r="C1692" s="5">
        <v>58.7</v>
      </c>
      <c r="D1692" s="5">
        <v>56.2</v>
      </c>
      <c r="E1692" s="3" t="s">
        <v>11</v>
      </c>
      <c r="F1692" s="6">
        <v>45665.811805555553</v>
      </c>
    </row>
    <row r="1693" spans="1:6" x14ac:dyDescent="0.3">
      <c r="A1693" s="3">
        <v>1692</v>
      </c>
      <c r="B1693" s="4">
        <f t="shared" si="27"/>
        <v>0.9575835475578407</v>
      </c>
      <c r="C1693" s="5">
        <v>77.8</v>
      </c>
      <c r="D1693" s="5">
        <v>74.5</v>
      </c>
      <c r="E1693" s="3" t="s">
        <v>11</v>
      </c>
      <c r="F1693" s="6">
        <v>44830.635416666657</v>
      </c>
    </row>
    <row r="1694" spans="1:6" x14ac:dyDescent="0.3">
      <c r="A1694" s="3">
        <v>1693</v>
      </c>
      <c r="B1694" s="4">
        <f t="shared" si="27"/>
        <v>0.95785440613026829</v>
      </c>
      <c r="C1694" s="5">
        <v>78.3</v>
      </c>
      <c r="D1694" s="5">
        <v>75</v>
      </c>
      <c r="E1694" s="3" t="s">
        <v>7</v>
      </c>
      <c r="F1694" s="6">
        <v>46036.05972222222</v>
      </c>
    </row>
    <row r="1695" spans="1:6" x14ac:dyDescent="0.3">
      <c r="A1695" s="3">
        <v>1694</v>
      </c>
      <c r="B1695" s="4">
        <f t="shared" si="27"/>
        <v>0.95846645367412142</v>
      </c>
      <c r="C1695" s="5">
        <v>62.6</v>
      </c>
      <c r="D1695" s="5">
        <v>60</v>
      </c>
      <c r="E1695" s="3" t="s">
        <v>7</v>
      </c>
      <c r="F1695" s="6">
        <v>44657.775694444441</v>
      </c>
    </row>
    <row r="1696" spans="1:6" x14ac:dyDescent="0.3">
      <c r="A1696" s="3">
        <v>1695</v>
      </c>
      <c r="B1696" s="4">
        <f t="shared" si="27"/>
        <v>0.95854271356783927</v>
      </c>
      <c r="C1696" s="5">
        <v>79.599999999999994</v>
      </c>
      <c r="D1696" s="5">
        <v>76.3</v>
      </c>
      <c r="E1696" s="3" t="s">
        <v>11</v>
      </c>
      <c r="F1696" s="6">
        <v>44580.633333333331</v>
      </c>
    </row>
    <row r="1697" spans="1:6" x14ac:dyDescent="0.3">
      <c r="A1697" s="3">
        <v>1696</v>
      </c>
      <c r="B1697" s="4">
        <f t="shared" si="27"/>
        <v>0.95854922279792742</v>
      </c>
      <c r="C1697" s="5">
        <v>77.2</v>
      </c>
      <c r="D1697" s="5">
        <v>74</v>
      </c>
      <c r="E1697" s="3" t="s">
        <v>11</v>
      </c>
      <c r="F1697" s="6">
        <v>45817.378472222219</v>
      </c>
    </row>
    <row r="1698" spans="1:6" x14ac:dyDescent="0.3">
      <c r="A1698" s="3">
        <v>1697</v>
      </c>
      <c r="B1698" s="4">
        <f t="shared" si="27"/>
        <v>0.958984375</v>
      </c>
      <c r="C1698" s="5">
        <v>51.2</v>
      </c>
      <c r="D1698" s="5">
        <v>49.1</v>
      </c>
      <c r="E1698" s="3" t="s">
        <v>7</v>
      </c>
      <c r="F1698" s="6">
        <v>44742.049305555563</v>
      </c>
    </row>
    <row r="1699" spans="1:6" x14ac:dyDescent="0.3">
      <c r="A1699" s="3">
        <v>1698</v>
      </c>
      <c r="B1699" s="4">
        <f t="shared" si="27"/>
        <v>0.95918367346938771</v>
      </c>
      <c r="C1699" s="5">
        <v>63.7</v>
      </c>
      <c r="D1699" s="5">
        <v>61.1</v>
      </c>
      <c r="E1699" s="3" t="s">
        <v>7</v>
      </c>
      <c r="F1699" s="6">
        <v>45261.613194444442</v>
      </c>
    </row>
    <row r="1700" spans="1:6" x14ac:dyDescent="0.3">
      <c r="A1700" s="3">
        <v>1699</v>
      </c>
      <c r="B1700" s="4">
        <f t="shared" si="27"/>
        <v>0.96</v>
      </c>
      <c r="C1700" s="5">
        <v>97.5</v>
      </c>
      <c r="D1700" s="5">
        <v>93.6</v>
      </c>
      <c r="E1700" s="3" t="s">
        <v>11</v>
      </c>
      <c r="F1700" s="6">
        <v>45299.710416666669</v>
      </c>
    </row>
    <row r="1701" spans="1:6" x14ac:dyDescent="0.3">
      <c r="A1701" s="3">
        <v>1700</v>
      </c>
      <c r="B1701" s="4">
        <f t="shared" si="27"/>
        <v>0.96085858585858575</v>
      </c>
      <c r="C1701" s="5">
        <v>79.2</v>
      </c>
      <c r="D1701" s="5">
        <v>76.099999999999994</v>
      </c>
      <c r="E1701" s="3" t="s">
        <v>7</v>
      </c>
      <c r="F1701" s="6">
        <v>45783.063194444447</v>
      </c>
    </row>
    <row r="1702" spans="1:6" x14ac:dyDescent="0.3">
      <c r="A1702" s="3">
        <v>1701</v>
      </c>
      <c r="B1702" s="4">
        <f t="shared" si="27"/>
        <v>0.96183206106870234</v>
      </c>
      <c r="C1702" s="5">
        <v>65.5</v>
      </c>
      <c r="D1702" s="5">
        <v>63</v>
      </c>
      <c r="E1702" s="3" t="s">
        <v>7</v>
      </c>
      <c r="F1702" s="6">
        <v>45218.693055555559</v>
      </c>
    </row>
    <row r="1703" spans="1:6" x14ac:dyDescent="0.3">
      <c r="A1703" s="3">
        <v>1702</v>
      </c>
      <c r="B1703" s="4">
        <f t="shared" si="27"/>
        <v>0.96207332490518327</v>
      </c>
      <c r="C1703" s="5">
        <v>79.099999999999994</v>
      </c>
      <c r="D1703" s="5">
        <v>76.099999999999994</v>
      </c>
      <c r="E1703" s="3" t="s">
        <v>11</v>
      </c>
      <c r="F1703" s="6">
        <v>45145.754166666673</v>
      </c>
    </row>
    <row r="1704" spans="1:6" x14ac:dyDescent="0.3">
      <c r="A1704" s="3">
        <v>1703</v>
      </c>
      <c r="B1704" s="4">
        <f t="shared" si="27"/>
        <v>0.96352583586626139</v>
      </c>
      <c r="C1704" s="5">
        <v>65.8</v>
      </c>
      <c r="D1704" s="5">
        <v>63.4</v>
      </c>
      <c r="E1704" s="3" t="s">
        <v>11</v>
      </c>
      <c r="F1704" s="6">
        <v>44645.613194444442</v>
      </c>
    </row>
    <row r="1705" spans="1:6" x14ac:dyDescent="0.3">
      <c r="A1705" s="3">
        <v>1704</v>
      </c>
      <c r="B1705" s="4">
        <f t="shared" si="27"/>
        <v>0.96397379912663761</v>
      </c>
      <c r="C1705" s="5">
        <v>91.6</v>
      </c>
      <c r="D1705" s="5">
        <v>88.3</v>
      </c>
      <c r="E1705" s="3" t="s">
        <v>11</v>
      </c>
      <c r="F1705" s="6">
        <v>45189.696527777778</v>
      </c>
    </row>
    <row r="1706" spans="1:6" x14ac:dyDescent="0.3">
      <c r="A1706" s="3">
        <v>1705</v>
      </c>
      <c r="B1706" s="4">
        <f t="shared" si="27"/>
        <v>0.96411856474258972</v>
      </c>
      <c r="C1706" s="5">
        <v>64.099999999999994</v>
      </c>
      <c r="D1706" s="5">
        <v>61.8</v>
      </c>
      <c r="E1706" s="3" t="s">
        <v>7</v>
      </c>
      <c r="F1706" s="6">
        <v>45799.45</v>
      </c>
    </row>
    <row r="1707" spans="1:6" x14ac:dyDescent="0.3">
      <c r="A1707" s="3">
        <v>1706</v>
      </c>
      <c r="B1707" s="4">
        <f t="shared" si="27"/>
        <v>0.96491228070175439</v>
      </c>
      <c r="C1707" s="5">
        <v>85.5</v>
      </c>
      <c r="D1707" s="5">
        <v>82.5</v>
      </c>
      <c r="E1707" s="3" t="s">
        <v>7</v>
      </c>
      <c r="F1707" s="6">
        <v>44879.449305555558</v>
      </c>
    </row>
    <row r="1708" spans="1:6" x14ac:dyDescent="0.3">
      <c r="A1708" s="3">
        <v>1707</v>
      </c>
      <c r="B1708" s="4">
        <f t="shared" si="27"/>
        <v>0.9658344283837057</v>
      </c>
      <c r="C1708" s="5">
        <v>76.099999999999994</v>
      </c>
      <c r="D1708" s="5">
        <v>73.5</v>
      </c>
      <c r="E1708" s="3" t="s">
        <v>11</v>
      </c>
      <c r="F1708" s="6">
        <v>45783.34652777778</v>
      </c>
    </row>
    <row r="1709" spans="1:6" x14ac:dyDescent="0.3">
      <c r="A1709" s="3">
        <v>1708</v>
      </c>
      <c r="B1709" s="4">
        <f t="shared" si="27"/>
        <v>0.96666666666666667</v>
      </c>
      <c r="C1709" s="5">
        <v>69</v>
      </c>
      <c r="D1709" s="5">
        <v>66.7</v>
      </c>
      <c r="E1709" s="3" t="s">
        <v>7</v>
      </c>
      <c r="F1709" s="6">
        <v>45575.718055555553</v>
      </c>
    </row>
    <row r="1710" spans="1:6" x14ac:dyDescent="0.3">
      <c r="A1710" s="3">
        <v>1709</v>
      </c>
      <c r="B1710" s="4">
        <f t="shared" si="27"/>
        <v>0.96963946869070206</v>
      </c>
      <c r="C1710" s="5">
        <v>52.7</v>
      </c>
      <c r="D1710" s="5">
        <v>51.1</v>
      </c>
      <c r="E1710" s="3" t="s">
        <v>11</v>
      </c>
      <c r="F1710" s="6">
        <v>46155.25277777778</v>
      </c>
    </row>
    <row r="1711" spans="1:6" x14ac:dyDescent="0.3">
      <c r="A1711" s="3">
        <v>1710</v>
      </c>
      <c r="B1711" s="4">
        <f t="shared" si="27"/>
        <v>0.96975088967971523</v>
      </c>
      <c r="C1711" s="5">
        <v>56.2</v>
      </c>
      <c r="D1711" s="5">
        <v>54.5</v>
      </c>
      <c r="E1711" s="3" t="s">
        <v>7</v>
      </c>
      <c r="F1711" s="6">
        <v>44812.675000000003</v>
      </c>
    </row>
    <row r="1712" spans="1:6" x14ac:dyDescent="0.3">
      <c r="A1712" s="3">
        <v>1711</v>
      </c>
      <c r="B1712" s="4">
        <f t="shared" si="27"/>
        <v>0.97025723472668812</v>
      </c>
      <c r="C1712" s="5">
        <v>124.4</v>
      </c>
      <c r="D1712" s="5">
        <v>120.7</v>
      </c>
      <c r="E1712" s="3" t="s">
        <v>11</v>
      </c>
      <c r="F1712" s="6">
        <v>44825.790277777778</v>
      </c>
    </row>
    <row r="1713" spans="1:6" x14ac:dyDescent="0.3">
      <c r="A1713" s="3">
        <v>1712</v>
      </c>
      <c r="B1713" s="4">
        <f t="shared" si="27"/>
        <v>0.97037037037037033</v>
      </c>
      <c r="C1713" s="5">
        <v>54</v>
      </c>
      <c r="D1713" s="5">
        <v>52.4</v>
      </c>
      <c r="E1713" s="3" t="s">
        <v>7</v>
      </c>
      <c r="F1713" s="6">
        <v>44987.424305555563</v>
      </c>
    </row>
    <row r="1714" spans="1:6" x14ac:dyDescent="0.3">
      <c r="A1714" s="3">
        <v>1713</v>
      </c>
      <c r="B1714" s="4">
        <f t="shared" si="27"/>
        <v>0.97130434782608699</v>
      </c>
      <c r="C1714" s="5">
        <v>115</v>
      </c>
      <c r="D1714" s="5">
        <v>111.7</v>
      </c>
      <c r="E1714" s="3" t="s">
        <v>7</v>
      </c>
      <c r="F1714" s="6">
        <v>44873.56527777778</v>
      </c>
    </row>
    <row r="1715" spans="1:6" x14ac:dyDescent="0.3">
      <c r="A1715" s="3">
        <v>1714</v>
      </c>
      <c r="B1715" s="4">
        <f t="shared" si="27"/>
        <v>0.97196261682242979</v>
      </c>
      <c r="C1715" s="5">
        <v>64.2</v>
      </c>
      <c r="D1715" s="5">
        <v>62.4</v>
      </c>
      <c r="E1715" s="3" t="s">
        <v>11</v>
      </c>
      <c r="F1715" s="6">
        <v>44679.716666666667</v>
      </c>
    </row>
    <row r="1716" spans="1:6" x14ac:dyDescent="0.3">
      <c r="A1716" s="3">
        <v>1715</v>
      </c>
      <c r="B1716" s="4">
        <f t="shared" si="27"/>
        <v>0.97222222222222221</v>
      </c>
      <c r="C1716" s="5">
        <v>61.2</v>
      </c>
      <c r="D1716" s="5">
        <v>59.5</v>
      </c>
      <c r="E1716" s="3" t="s">
        <v>7</v>
      </c>
      <c r="F1716" s="6">
        <v>46076.518750000003</v>
      </c>
    </row>
    <row r="1717" spans="1:6" x14ac:dyDescent="0.3">
      <c r="A1717" s="3">
        <v>1716</v>
      </c>
      <c r="B1717" s="4">
        <f t="shared" si="27"/>
        <v>0.97236180904522607</v>
      </c>
      <c r="C1717" s="5">
        <v>119.4</v>
      </c>
      <c r="D1717" s="5">
        <v>116.1</v>
      </c>
      <c r="E1717" s="3" t="s">
        <v>7</v>
      </c>
      <c r="F1717" s="6">
        <v>44907.291666666657</v>
      </c>
    </row>
    <row r="1718" spans="1:6" x14ac:dyDescent="0.3">
      <c r="A1718" s="3">
        <v>1717</v>
      </c>
      <c r="B1718" s="4">
        <f t="shared" si="27"/>
        <v>0.97383720930232565</v>
      </c>
      <c r="C1718" s="5">
        <v>68.8</v>
      </c>
      <c r="D1718" s="5">
        <v>67</v>
      </c>
      <c r="E1718" s="3" t="s">
        <v>7</v>
      </c>
      <c r="F1718" s="6">
        <v>45231.779166666667</v>
      </c>
    </row>
    <row r="1719" spans="1:6" x14ac:dyDescent="0.3">
      <c r="A1719" s="3">
        <v>1718</v>
      </c>
      <c r="B1719" s="4">
        <f t="shared" si="27"/>
        <v>0.97400820793433662</v>
      </c>
      <c r="C1719" s="5">
        <v>73.099999999999994</v>
      </c>
      <c r="D1719" s="5">
        <v>71.2</v>
      </c>
      <c r="E1719" s="3" t="s">
        <v>11</v>
      </c>
      <c r="F1719" s="6">
        <v>45167.599305555559</v>
      </c>
    </row>
    <row r="1720" spans="1:6" x14ac:dyDescent="0.3">
      <c r="A1720" s="3">
        <v>1719</v>
      </c>
      <c r="B1720" s="4">
        <f t="shared" si="27"/>
        <v>0.97526501766784457</v>
      </c>
      <c r="C1720" s="5">
        <v>56.6</v>
      </c>
      <c r="D1720" s="5">
        <v>55.2</v>
      </c>
      <c r="E1720" s="3" t="s">
        <v>11</v>
      </c>
      <c r="F1720" s="6">
        <v>45667.543749999997</v>
      </c>
    </row>
    <row r="1721" spans="1:6" x14ac:dyDescent="0.3">
      <c r="A1721" s="3">
        <v>1720</v>
      </c>
      <c r="B1721" s="4">
        <f t="shared" si="27"/>
        <v>0.97606837606837604</v>
      </c>
      <c r="C1721" s="5">
        <v>58.5</v>
      </c>
      <c r="D1721" s="5">
        <v>57.1</v>
      </c>
      <c r="E1721" s="3" t="s">
        <v>11</v>
      </c>
      <c r="F1721" s="6">
        <v>45846.320833333331</v>
      </c>
    </row>
    <row r="1722" spans="1:6" x14ac:dyDescent="0.3">
      <c r="A1722" s="3">
        <v>1721</v>
      </c>
      <c r="B1722" s="4">
        <f t="shared" si="27"/>
        <v>0.97640791476407918</v>
      </c>
      <c r="C1722" s="5">
        <v>131.4</v>
      </c>
      <c r="D1722" s="5">
        <v>128.30000000000001</v>
      </c>
      <c r="E1722" s="3" t="s">
        <v>7</v>
      </c>
      <c r="F1722" s="6">
        <v>44830.425000000003</v>
      </c>
    </row>
    <row r="1723" spans="1:6" x14ac:dyDescent="0.3">
      <c r="A1723" s="3">
        <v>1722</v>
      </c>
      <c r="B1723" s="4">
        <f t="shared" si="27"/>
        <v>0.9766584766584766</v>
      </c>
      <c r="C1723" s="5">
        <v>81.400000000000006</v>
      </c>
      <c r="D1723" s="5">
        <v>79.5</v>
      </c>
      <c r="E1723" s="3" t="s">
        <v>11</v>
      </c>
      <c r="F1723" s="6">
        <v>44833.987500000003</v>
      </c>
    </row>
    <row r="1724" spans="1:6" x14ac:dyDescent="0.3">
      <c r="A1724" s="3">
        <v>1723</v>
      </c>
      <c r="B1724" s="4">
        <f t="shared" si="27"/>
        <v>0.97666666666666668</v>
      </c>
      <c r="C1724" s="5">
        <v>60</v>
      </c>
      <c r="D1724" s="5">
        <v>58.6</v>
      </c>
      <c r="E1724" s="3" t="s">
        <v>11</v>
      </c>
      <c r="F1724" s="6">
        <v>44658.307638888888</v>
      </c>
    </row>
    <row r="1725" spans="1:6" x14ac:dyDescent="0.3">
      <c r="A1725" s="3">
        <v>1724</v>
      </c>
      <c r="B1725" s="4">
        <f t="shared" si="27"/>
        <v>0.97666666666666668</v>
      </c>
      <c r="C1725" s="5">
        <v>60</v>
      </c>
      <c r="D1725" s="5">
        <v>58.6</v>
      </c>
      <c r="E1725" s="3" t="s">
        <v>7</v>
      </c>
      <c r="F1725" s="6">
        <v>45204.527777777781</v>
      </c>
    </row>
    <row r="1726" spans="1:6" x14ac:dyDescent="0.3">
      <c r="A1726" s="3">
        <v>1725</v>
      </c>
      <c r="B1726" s="4">
        <f t="shared" si="27"/>
        <v>0.97731239092495636</v>
      </c>
      <c r="C1726" s="5">
        <v>57.3</v>
      </c>
      <c r="D1726" s="5">
        <v>56</v>
      </c>
      <c r="E1726" s="3" t="s">
        <v>7</v>
      </c>
      <c r="F1726" s="6">
        <v>44798.668749999997</v>
      </c>
    </row>
    <row r="1727" spans="1:6" x14ac:dyDescent="0.3">
      <c r="A1727" s="3">
        <v>1726</v>
      </c>
      <c r="B1727" s="4">
        <f t="shared" si="27"/>
        <v>0.97744360902255634</v>
      </c>
      <c r="C1727" s="5">
        <v>53.2</v>
      </c>
      <c r="D1727" s="5">
        <v>52</v>
      </c>
      <c r="E1727" s="3" t="s">
        <v>11</v>
      </c>
      <c r="F1727" s="6">
        <v>44630.533333333333</v>
      </c>
    </row>
    <row r="1728" spans="1:6" x14ac:dyDescent="0.3">
      <c r="A1728" s="3">
        <v>1727</v>
      </c>
      <c r="B1728" s="4">
        <f t="shared" si="27"/>
        <v>0.97826086956521741</v>
      </c>
      <c r="C1728" s="5">
        <v>82.8</v>
      </c>
      <c r="D1728" s="5">
        <v>81</v>
      </c>
      <c r="E1728" s="3" t="s">
        <v>11</v>
      </c>
      <c r="F1728" s="6">
        <v>46073.645833333343</v>
      </c>
    </row>
    <row r="1729" spans="1:6" x14ac:dyDescent="0.3">
      <c r="A1729" s="3">
        <v>1728</v>
      </c>
      <c r="B1729" s="4">
        <f t="shared" si="27"/>
        <v>0.97829036635006772</v>
      </c>
      <c r="C1729" s="5">
        <v>73.7</v>
      </c>
      <c r="D1729" s="5">
        <v>72.099999999999994</v>
      </c>
      <c r="E1729" s="3" t="s">
        <v>11</v>
      </c>
      <c r="F1729" s="6">
        <v>44956.445138888892</v>
      </c>
    </row>
    <row r="1730" spans="1:6" x14ac:dyDescent="0.3">
      <c r="A1730" s="3">
        <v>1729</v>
      </c>
      <c r="B1730" s="4">
        <f t="shared" ref="B1730:B1793" si="28">D1730/C1730</f>
        <v>0.97872340425531923</v>
      </c>
      <c r="C1730" s="5">
        <v>56.4</v>
      </c>
      <c r="D1730" s="5">
        <v>55.2</v>
      </c>
      <c r="E1730" s="3" t="s">
        <v>11</v>
      </c>
      <c r="F1730" s="6">
        <v>44901.345138888893</v>
      </c>
    </row>
    <row r="1731" spans="1:6" x14ac:dyDescent="0.3">
      <c r="A1731" s="3">
        <v>1730</v>
      </c>
      <c r="B1731" s="4">
        <f t="shared" si="28"/>
        <v>0.97972116603295301</v>
      </c>
      <c r="C1731" s="5">
        <v>78.900000000000006</v>
      </c>
      <c r="D1731" s="5">
        <v>77.3</v>
      </c>
      <c r="E1731" s="3" t="s">
        <v>11</v>
      </c>
      <c r="F1731" s="6">
        <v>44706.645138888889</v>
      </c>
    </row>
    <row r="1732" spans="1:6" x14ac:dyDescent="0.3">
      <c r="A1732" s="3">
        <v>1731</v>
      </c>
      <c r="B1732" s="4">
        <f t="shared" si="28"/>
        <v>0.98056994818652854</v>
      </c>
      <c r="C1732" s="5">
        <v>77.2</v>
      </c>
      <c r="D1732" s="5">
        <v>75.7</v>
      </c>
      <c r="E1732" s="3" t="s">
        <v>7</v>
      </c>
      <c r="F1732" s="6">
        <v>44986.448611111111</v>
      </c>
    </row>
    <row r="1733" spans="1:6" x14ac:dyDescent="0.3">
      <c r="A1733" s="3">
        <v>1732</v>
      </c>
      <c r="B1733" s="4">
        <f t="shared" si="28"/>
        <v>0.98118668596237346</v>
      </c>
      <c r="C1733" s="5">
        <v>69.099999999999994</v>
      </c>
      <c r="D1733" s="5">
        <v>67.8</v>
      </c>
      <c r="E1733" s="3" t="s">
        <v>7</v>
      </c>
      <c r="F1733" s="6">
        <v>44707.611805555563</v>
      </c>
    </row>
    <row r="1734" spans="1:6" x14ac:dyDescent="0.3">
      <c r="A1734" s="3">
        <v>1733</v>
      </c>
      <c r="B1734" s="4">
        <f t="shared" si="28"/>
        <v>0.98169014084507045</v>
      </c>
      <c r="C1734" s="5">
        <v>71</v>
      </c>
      <c r="D1734" s="5">
        <v>69.7</v>
      </c>
      <c r="E1734" s="3" t="s">
        <v>11</v>
      </c>
      <c r="F1734" s="6">
        <v>44712.661111111112</v>
      </c>
    </row>
    <row r="1735" spans="1:6" x14ac:dyDescent="0.3">
      <c r="A1735" s="3">
        <v>1734</v>
      </c>
      <c r="B1735" s="4">
        <f t="shared" si="28"/>
        <v>0.98270893371757917</v>
      </c>
      <c r="C1735" s="5">
        <v>69.400000000000006</v>
      </c>
      <c r="D1735" s="5">
        <v>68.2</v>
      </c>
      <c r="E1735" s="3" t="s">
        <v>11</v>
      </c>
      <c r="F1735" s="6">
        <v>45267.740972222222</v>
      </c>
    </row>
    <row r="1736" spans="1:6" x14ac:dyDescent="0.3">
      <c r="A1736" s="3">
        <v>1735</v>
      </c>
      <c r="B1736" s="4">
        <f t="shared" si="28"/>
        <v>0.98314606741573041</v>
      </c>
      <c r="C1736" s="5">
        <v>53.4</v>
      </c>
      <c r="D1736" s="5">
        <v>52.5</v>
      </c>
      <c r="E1736" s="3" t="s">
        <v>11</v>
      </c>
      <c r="F1736" s="6">
        <v>45217.257638888892</v>
      </c>
    </row>
    <row r="1737" spans="1:6" x14ac:dyDescent="0.3">
      <c r="A1737" s="3">
        <v>1736</v>
      </c>
      <c r="B1737" s="4">
        <f t="shared" si="28"/>
        <v>0.98335467349551864</v>
      </c>
      <c r="C1737" s="5">
        <v>78.099999999999994</v>
      </c>
      <c r="D1737" s="5">
        <v>76.8</v>
      </c>
      <c r="E1737" s="3" t="s">
        <v>11</v>
      </c>
      <c r="F1737" s="6">
        <v>45761.8125</v>
      </c>
    </row>
    <row r="1738" spans="1:6" x14ac:dyDescent="0.3">
      <c r="A1738" s="3">
        <v>1737</v>
      </c>
      <c r="B1738" s="4">
        <f t="shared" si="28"/>
        <v>0.98349834983498352</v>
      </c>
      <c r="C1738" s="5">
        <v>60.6</v>
      </c>
      <c r="D1738" s="5">
        <v>59.6</v>
      </c>
      <c r="E1738" s="3" t="s">
        <v>11</v>
      </c>
      <c r="F1738" s="6">
        <v>44810.426388888889</v>
      </c>
    </row>
    <row r="1739" spans="1:6" x14ac:dyDescent="0.3">
      <c r="A1739" s="3">
        <v>1738</v>
      </c>
      <c r="B1739" s="4">
        <f t="shared" si="28"/>
        <v>0.98394160583941614</v>
      </c>
      <c r="C1739" s="5">
        <v>68.5</v>
      </c>
      <c r="D1739" s="5">
        <v>67.400000000000006</v>
      </c>
      <c r="E1739" s="3" t="s">
        <v>11</v>
      </c>
      <c r="F1739" s="6">
        <v>44859.035416666673</v>
      </c>
    </row>
    <row r="1740" spans="1:6" x14ac:dyDescent="0.3">
      <c r="A1740" s="3">
        <v>1739</v>
      </c>
      <c r="B1740" s="4">
        <f t="shared" si="28"/>
        <v>0.98415977961432521</v>
      </c>
      <c r="C1740" s="5">
        <v>145.19999999999999</v>
      </c>
      <c r="D1740" s="5">
        <v>142.9</v>
      </c>
      <c r="E1740" s="3" t="s">
        <v>11</v>
      </c>
      <c r="F1740" s="6">
        <v>44826.363888888889</v>
      </c>
    </row>
    <row r="1741" spans="1:6" x14ac:dyDescent="0.3">
      <c r="A1741" s="3">
        <v>1740</v>
      </c>
      <c r="B1741" s="4">
        <f t="shared" si="28"/>
        <v>0.98715596330275224</v>
      </c>
      <c r="C1741" s="5">
        <v>54.5</v>
      </c>
      <c r="D1741" s="5">
        <v>53.8</v>
      </c>
      <c r="E1741" s="3" t="s">
        <v>11</v>
      </c>
      <c r="F1741" s="6">
        <v>45989.664583333331</v>
      </c>
    </row>
    <row r="1742" spans="1:6" x14ac:dyDescent="0.3">
      <c r="A1742" s="3">
        <v>1741</v>
      </c>
      <c r="B1742" s="4">
        <f t="shared" si="28"/>
        <v>0.98828125</v>
      </c>
      <c r="C1742" s="5">
        <v>51.2</v>
      </c>
      <c r="D1742" s="5">
        <v>50.6</v>
      </c>
      <c r="E1742" s="3" t="s">
        <v>11</v>
      </c>
      <c r="F1742" s="6">
        <v>46083.618750000001</v>
      </c>
    </row>
    <row r="1743" spans="1:6" x14ac:dyDescent="0.3">
      <c r="A1743" s="3">
        <v>1742</v>
      </c>
      <c r="B1743" s="4">
        <f t="shared" si="28"/>
        <v>0.98842257597684524</v>
      </c>
      <c r="C1743" s="5">
        <v>69.099999999999994</v>
      </c>
      <c r="D1743" s="5">
        <v>68.3</v>
      </c>
      <c r="E1743" s="3" t="s">
        <v>7</v>
      </c>
      <c r="F1743" s="6">
        <v>44481.601388888892</v>
      </c>
    </row>
    <row r="1744" spans="1:6" x14ac:dyDescent="0.3">
      <c r="A1744" s="3">
        <v>1743</v>
      </c>
      <c r="B1744" s="4">
        <f t="shared" si="28"/>
        <v>0.98857142857142855</v>
      </c>
      <c r="C1744" s="5">
        <v>52.5</v>
      </c>
      <c r="D1744" s="5">
        <v>51.9</v>
      </c>
      <c r="E1744" s="3" t="s">
        <v>7</v>
      </c>
      <c r="F1744" s="6">
        <v>44460.62222222222</v>
      </c>
    </row>
    <row r="1745" spans="1:6" x14ac:dyDescent="0.3">
      <c r="A1745" s="3">
        <v>1744</v>
      </c>
      <c r="B1745" s="4">
        <f t="shared" si="28"/>
        <v>0.98870056497175141</v>
      </c>
      <c r="C1745" s="5">
        <v>70.8</v>
      </c>
      <c r="D1745" s="5">
        <v>70</v>
      </c>
      <c r="E1745" s="3" t="s">
        <v>7</v>
      </c>
      <c r="F1745" s="6">
        <v>44685.59375</v>
      </c>
    </row>
    <row r="1746" spans="1:6" x14ac:dyDescent="0.3">
      <c r="A1746" s="3">
        <v>1745</v>
      </c>
      <c r="B1746" s="4">
        <f t="shared" si="28"/>
        <v>0.98926174496644304</v>
      </c>
      <c r="C1746" s="5">
        <v>74.5</v>
      </c>
      <c r="D1746" s="5">
        <v>73.7</v>
      </c>
      <c r="E1746" s="3" t="s">
        <v>7</v>
      </c>
      <c r="F1746" s="6">
        <v>44953.661111111112</v>
      </c>
    </row>
    <row r="1747" spans="1:6" x14ac:dyDescent="0.3">
      <c r="A1747" s="3">
        <v>1746</v>
      </c>
      <c r="B1747" s="4">
        <f t="shared" si="28"/>
        <v>0.9893617021276595</v>
      </c>
      <c r="C1747" s="5">
        <v>56.4</v>
      </c>
      <c r="D1747" s="5">
        <v>55.8</v>
      </c>
      <c r="E1747" s="3" t="s">
        <v>7</v>
      </c>
      <c r="F1747" s="6">
        <v>45674.595138888893</v>
      </c>
    </row>
    <row r="1748" spans="1:6" x14ac:dyDescent="0.3">
      <c r="A1748" s="3">
        <v>1747</v>
      </c>
      <c r="B1748" s="4">
        <f t="shared" si="28"/>
        <v>0.9910714285714286</v>
      </c>
      <c r="C1748" s="5">
        <v>56</v>
      </c>
      <c r="D1748" s="5">
        <v>55.5</v>
      </c>
      <c r="E1748" s="3" t="s">
        <v>11</v>
      </c>
      <c r="F1748" s="6">
        <v>44844.30972222222</v>
      </c>
    </row>
    <row r="1749" spans="1:6" x14ac:dyDescent="0.3">
      <c r="A1749" s="3">
        <v>1748</v>
      </c>
      <c r="B1749" s="4">
        <f t="shared" si="28"/>
        <v>0.99127399650959858</v>
      </c>
      <c r="C1749" s="5">
        <v>57.3</v>
      </c>
      <c r="D1749" s="5">
        <v>56.8</v>
      </c>
      <c r="E1749" s="3" t="s">
        <v>7</v>
      </c>
      <c r="F1749" s="6">
        <v>45068.636111111111</v>
      </c>
    </row>
    <row r="1750" spans="1:6" x14ac:dyDescent="0.3">
      <c r="A1750" s="3">
        <v>1749</v>
      </c>
      <c r="B1750" s="4">
        <f t="shared" si="28"/>
        <v>0.99142367066895365</v>
      </c>
      <c r="C1750" s="5">
        <v>58.3</v>
      </c>
      <c r="D1750" s="5">
        <v>57.8</v>
      </c>
      <c r="E1750" s="3" t="s">
        <v>11</v>
      </c>
      <c r="F1750" s="6">
        <v>44831.632638888892</v>
      </c>
    </row>
    <row r="1751" spans="1:6" x14ac:dyDescent="0.3">
      <c r="A1751" s="3">
        <v>1750</v>
      </c>
      <c r="B1751" s="4">
        <f t="shared" si="28"/>
        <v>0.99172932330827068</v>
      </c>
      <c r="C1751" s="5">
        <v>133</v>
      </c>
      <c r="D1751" s="5">
        <v>131.9</v>
      </c>
      <c r="E1751" s="3" t="s">
        <v>7</v>
      </c>
      <c r="F1751" s="6">
        <v>45280.538194444453</v>
      </c>
    </row>
    <row r="1752" spans="1:6" x14ac:dyDescent="0.3">
      <c r="A1752" s="3">
        <v>1751</v>
      </c>
      <c r="B1752" s="4">
        <f t="shared" si="28"/>
        <v>0.99246704331450097</v>
      </c>
      <c r="C1752" s="5">
        <v>53.1</v>
      </c>
      <c r="D1752" s="5">
        <v>52.7</v>
      </c>
      <c r="E1752" s="3" t="s">
        <v>7</v>
      </c>
      <c r="F1752" s="6">
        <v>44847.564583333333</v>
      </c>
    </row>
    <row r="1753" spans="1:6" x14ac:dyDescent="0.3">
      <c r="A1753" s="3">
        <v>1752</v>
      </c>
      <c r="B1753" s="4">
        <f t="shared" si="28"/>
        <v>0.99271402550091081</v>
      </c>
      <c r="C1753" s="5">
        <v>54.9</v>
      </c>
      <c r="D1753" s="5">
        <v>54.5</v>
      </c>
      <c r="E1753" s="3" t="s">
        <v>11</v>
      </c>
      <c r="F1753" s="6">
        <v>44628.752083333333</v>
      </c>
    </row>
    <row r="1754" spans="1:6" x14ac:dyDescent="0.3">
      <c r="A1754" s="3">
        <v>1753</v>
      </c>
      <c r="B1754" s="4">
        <f t="shared" si="28"/>
        <v>0.99328214971209206</v>
      </c>
      <c r="C1754" s="5">
        <v>104.2</v>
      </c>
      <c r="D1754" s="5">
        <v>103.5</v>
      </c>
      <c r="E1754" s="3" t="s">
        <v>11</v>
      </c>
      <c r="F1754" s="6">
        <v>44687.461805555547</v>
      </c>
    </row>
    <row r="1755" spans="1:6" x14ac:dyDescent="0.3">
      <c r="A1755" s="3">
        <v>1754</v>
      </c>
      <c r="B1755" s="4">
        <f t="shared" si="28"/>
        <v>0.99395405078597343</v>
      </c>
      <c r="C1755" s="5">
        <v>82.7</v>
      </c>
      <c r="D1755" s="5">
        <v>82.2</v>
      </c>
      <c r="E1755" s="3" t="s">
        <v>11</v>
      </c>
      <c r="F1755" s="6">
        <v>45680.747916666667</v>
      </c>
    </row>
    <row r="1756" spans="1:6" x14ac:dyDescent="0.3">
      <c r="A1756" s="3">
        <v>1755</v>
      </c>
      <c r="B1756" s="4">
        <f t="shared" si="28"/>
        <v>0.99435028248587565</v>
      </c>
      <c r="C1756" s="5">
        <v>53.1</v>
      </c>
      <c r="D1756" s="5">
        <v>52.8</v>
      </c>
      <c r="E1756" s="3" t="s">
        <v>7</v>
      </c>
      <c r="F1756" s="6">
        <v>45281.675694444442</v>
      </c>
    </row>
    <row r="1757" spans="1:6" x14ac:dyDescent="0.3">
      <c r="A1757" s="3">
        <v>1756</v>
      </c>
      <c r="B1757" s="4">
        <f t="shared" si="28"/>
        <v>0.99443671766342134</v>
      </c>
      <c r="C1757" s="5">
        <v>71.900000000000006</v>
      </c>
      <c r="D1757" s="5">
        <v>71.5</v>
      </c>
      <c r="E1757" s="3" t="s">
        <v>11</v>
      </c>
      <c r="F1757" s="6">
        <v>45755.527083333327</v>
      </c>
    </row>
    <row r="1758" spans="1:6" x14ac:dyDescent="0.3">
      <c r="A1758" s="3">
        <v>1757</v>
      </c>
      <c r="B1758" s="4">
        <f t="shared" si="28"/>
        <v>0.99465954606141516</v>
      </c>
      <c r="C1758" s="5">
        <v>74.900000000000006</v>
      </c>
      <c r="D1758" s="5">
        <v>74.5</v>
      </c>
      <c r="E1758" s="3" t="s">
        <v>11</v>
      </c>
      <c r="F1758" s="6">
        <v>44952.984027777777</v>
      </c>
    </row>
    <row r="1759" spans="1:6" x14ac:dyDescent="0.3">
      <c r="A1759" s="3">
        <v>1758</v>
      </c>
      <c r="B1759" s="4">
        <f t="shared" si="28"/>
        <v>0.99512987012987009</v>
      </c>
      <c r="C1759" s="5">
        <v>61.6</v>
      </c>
      <c r="D1759" s="5">
        <v>61.3</v>
      </c>
      <c r="E1759" s="3" t="s">
        <v>7</v>
      </c>
      <c r="F1759" s="6">
        <v>45779.520833333343</v>
      </c>
    </row>
    <row r="1760" spans="1:6" x14ac:dyDescent="0.3">
      <c r="A1760" s="3">
        <v>1759</v>
      </c>
      <c r="B1760" s="4">
        <f t="shared" si="28"/>
        <v>0.99611650485436887</v>
      </c>
      <c r="C1760" s="5">
        <v>51.5</v>
      </c>
      <c r="D1760" s="5">
        <v>51.3</v>
      </c>
      <c r="E1760" s="3" t="s">
        <v>7</v>
      </c>
      <c r="F1760" s="6">
        <v>44824.412499999999</v>
      </c>
    </row>
    <row r="1761" spans="1:6" x14ac:dyDescent="0.3">
      <c r="A1761" s="3">
        <v>1760</v>
      </c>
      <c r="B1761" s="4">
        <f t="shared" si="28"/>
        <v>0.99623352165725043</v>
      </c>
      <c r="C1761" s="5">
        <v>53.1</v>
      </c>
      <c r="D1761" s="5">
        <v>52.9</v>
      </c>
      <c r="E1761" s="3" t="s">
        <v>11</v>
      </c>
      <c r="F1761" s="6">
        <v>45758.155555555553</v>
      </c>
    </row>
    <row r="1762" spans="1:6" x14ac:dyDescent="0.3">
      <c r="A1762" s="3">
        <v>1761</v>
      </c>
      <c r="B1762" s="4">
        <f t="shared" si="28"/>
        <v>0.99651567944250874</v>
      </c>
      <c r="C1762" s="5">
        <v>57.4</v>
      </c>
      <c r="D1762" s="5">
        <v>57.2</v>
      </c>
      <c r="E1762" s="3" t="s">
        <v>11</v>
      </c>
      <c r="F1762" s="6">
        <v>44644.506944444453</v>
      </c>
    </row>
    <row r="1763" spans="1:6" x14ac:dyDescent="0.3">
      <c r="A1763" s="3">
        <v>1762</v>
      </c>
      <c r="B1763" s="4">
        <f t="shared" si="28"/>
        <v>0.99688473520249221</v>
      </c>
      <c r="C1763" s="5">
        <v>64.2</v>
      </c>
      <c r="D1763" s="5">
        <v>64</v>
      </c>
      <c r="E1763" s="3" t="s">
        <v>7</v>
      </c>
      <c r="F1763" s="6">
        <v>45128.350694444453</v>
      </c>
    </row>
    <row r="1764" spans="1:6" x14ac:dyDescent="0.3">
      <c r="A1764" s="3">
        <v>1763</v>
      </c>
      <c r="B1764" s="4">
        <f t="shared" si="28"/>
        <v>0.99692780337941644</v>
      </c>
      <c r="C1764" s="5">
        <v>65.099999999999994</v>
      </c>
      <c r="D1764" s="5">
        <v>64.900000000000006</v>
      </c>
      <c r="E1764" s="3" t="s">
        <v>7</v>
      </c>
      <c r="F1764" s="6">
        <v>45419.424305555563</v>
      </c>
    </row>
    <row r="1765" spans="1:6" x14ac:dyDescent="0.3">
      <c r="A1765" s="3">
        <v>1764</v>
      </c>
      <c r="B1765" s="4">
        <f t="shared" si="28"/>
        <v>0.99808795411089879</v>
      </c>
      <c r="C1765" s="5">
        <v>52.3</v>
      </c>
      <c r="D1765" s="5">
        <v>52.2</v>
      </c>
      <c r="E1765" s="3" t="s">
        <v>11</v>
      </c>
      <c r="F1765" s="6">
        <v>45950.106249999997</v>
      </c>
    </row>
    <row r="1766" spans="1:6" x14ac:dyDescent="0.3">
      <c r="A1766" s="3">
        <v>1765</v>
      </c>
      <c r="B1766" s="4">
        <f t="shared" si="28"/>
        <v>0.99826086956521731</v>
      </c>
      <c r="C1766" s="5">
        <v>57.5</v>
      </c>
      <c r="D1766" s="5">
        <v>57.4</v>
      </c>
      <c r="E1766" s="3" t="s">
        <v>7</v>
      </c>
      <c r="F1766" s="6">
        <v>46044.469444444447</v>
      </c>
    </row>
    <row r="1767" spans="1:6" x14ac:dyDescent="0.3">
      <c r="A1767" s="3">
        <v>1766</v>
      </c>
      <c r="B1767" s="4">
        <f t="shared" si="28"/>
        <v>0.99853587115666187</v>
      </c>
      <c r="C1767" s="5">
        <v>68.3</v>
      </c>
      <c r="D1767" s="5">
        <v>68.2</v>
      </c>
      <c r="E1767" s="3" t="s">
        <v>11</v>
      </c>
      <c r="F1767" s="6">
        <v>45637.574999999997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5 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Khymchenko Oleg</cp:lastModifiedBy>
  <dcterms:created xsi:type="dcterms:W3CDTF">2026-09-03T03:20:06Z</dcterms:created>
  <dcterms:modified xsi:type="dcterms:W3CDTF">2026-09-03T03:20:13Z</dcterms:modified>
</cp:coreProperties>
</file>